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bank.ad.pkobp.pl\dfs\DaneGrupowe\DAE\MAKRO\Wlasne\Staż\BAM\OKI\"/>
    </mc:Choice>
  </mc:AlternateContent>
  <xr:revisionPtr revIDLastSave="0" documentId="13_ncr:1_{967B8B8C-8EE7-46A0-AEFA-AD2F557A4817}" xr6:coauthVersionLast="47" xr6:coauthVersionMax="47" xr10:uidLastSave="{00000000-0000-0000-0000-000000000000}"/>
  <bookViews>
    <workbookView xWindow="30810" yWindow="1365" windowWidth="21600" windowHeight="11295" activeTab="8" xr2:uid="{659E9D44-59B1-4BB7-ACD3-9F08C44B9E0A}"/>
  </bookViews>
  <sheets>
    <sheet name="Arkusz1" sheetId="1" r:id="rId1"/>
    <sheet name="2 OPN_PLN" sheetId="2" r:id="rId2"/>
    <sheet name="1 000" sheetId="3" r:id="rId3"/>
    <sheet name="5 000" sheetId="4" r:id="rId4"/>
    <sheet name="10 000" sheetId="5" r:id="rId5"/>
    <sheet name="100 000" sheetId="6" r:id="rId6"/>
    <sheet name="150 000" sheetId="13" r:id="rId7"/>
    <sheet name="200 000" sheetId="14" r:id="rId8"/>
    <sheet name="podsumowanie" sheetId="11" r:id="rId9"/>
  </sheets>
  <definedNames>
    <definedName name="_xlnm._FilterDatabase" localSheetId="2" hidden="1">'1 000'!$A$4:$F$275</definedName>
    <definedName name="_xlnm._FilterDatabase" localSheetId="4" hidden="1">'10 000'!$A$4:$F$275</definedName>
    <definedName name="_xlnm._FilterDatabase" localSheetId="5" hidden="1">'100 000'!$A$4:$F$275</definedName>
    <definedName name="_xlnm._FilterDatabase" localSheetId="6" hidden="1">'150 000'!$A$4:$F$275</definedName>
    <definedName name="_xlnm._FilterDatabase" localSheetId="7" hidden="1">'200 000'!$A$4:$F$275</definedName>
    <definedName name="_xlnm._FilterDatabase" localSheetId="3" hidden="1">'5 000'!$A$4:$F$275</definedName>
    <definedName name="annex1">#N/A</definedName>
    <definedName name="annex2">#N/A</definedName>
    <definedName name="Macrobond_Object1" localSheetId="2">'1 000'!$A$3:$B$264</definedName>
    <definedName name="Macrobond_Object1" localSheetId="4">'10 000'!$A$3:$B$264</definedName>
    <definedName name="Macrobond_Object1" localSheetId="5">'100 000'!$A$3:$B$264</definedName>
    <definedName name="Macrobond_Object1" localSheetId="6">'150 000'!$A$3:$B$264</definedName>
    <definedName name="Macrobond_Object1" localSheetId="7">'200 000'!$A$3:$B$264</definedName>
    <definedName name="Macrobond_Object1" localSheetId="3">'5 000'!$A$3:$B$264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8" i="3" l="1"/>
  <c r="D19" i="3"/>
  <c r="F28" i="3"/>
  <c r="D17" i="3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S256" i="14"/>
  <c r="S244" i="14"/>
  <c r="S256" i="13"/>
  <c r="S244" i="13"/>
  <c r="S256" i="6"/>
  <c r="S244" i="6"/>
  <c r="S256" i="5"/>
  <c r="C21" i="11" s="1"/>
  <c r="S244" i="5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7" i="11"/>
  <c r="B8" i="11"/>
  <c r="B6" i="11"/>
  <c r="B5" i="11"/>
  <c r="B4" i="11"/>
  <c r="B3" i="11"/>
  <c r="B2" i="11"/>
  <c r="S256" i="4"/>
  <c r="S244" i="4"/>
  <c r="N256" i="14"/>
  <c r="N244" i="14"/>
  <c r="N232" i="14"/>
  <c r="N220" i="14"/>
  <c r="N208" i="14"/>
  <c r="N196" i="14"/>
  <c r="N184" i="14"/>
  <c r="N172" i="14"/>
  <c r="N160" i="14"/>
  <c r="N148" i="14"/>
  <c r="N136" i="14"/>
  <c r="N124" i="14"/>
  <c r="N112" i="14"/>
  <c r="N100" i="14"/>
  <c r="N88" i="14"/>
  <c r="N76" i="14"/>
  <c r="N64" i="14"/>
  <c r="N52" i="14"/>
  <c r="N40" i="14"/>
  <c r="N28" i="14"/>
  <c r="N256" i="13"/>
  <c r="N244" i="13"/>
  <c r="N232" i="13"/>
  <c r="N220" i="13"/>
  <c r="N208" i="13"/>
  <c r="N196" i="13"/>
  <c r="N184" i="13"/>
  <c r="N172" i="13"/>
  <c r="N160" i="13"/>
  <c r="N148" i="13"/>
  <c r="N136" i="13"/>
  <c r="N124" i="13"/>
  <c r="N112" i="13"/>
  <c r="N100" i="13"/>
  <c r="N88" i="13"/>
  <c r="N76" i="13"/>
  <c r="N64" i="13"/>
  <c r="N52" i="13"/>
  <c r="N40" i="13"/>
  <c r="N28" i="13"/>
  <c r="N256" i="6"/>
  <c r="N244" i="6"/>
  <c r="N232" i="6"/>
  <c r="N220" i="6"/>
  <c r="N208" i="6"/>
  <c r="N196" i="6"/>
  <c r="N184" i="6"/>
  <c r="N172" i="6"/>
  <c r="N160" i="6"/>
  <c r="N148" i="6"/>
  <c r="N136" i="6"/>
  <c r="N124" i="6"/>
  <c r="N112" i="6"/>
  <c r="N100" i="6"/>
  <c r="N88" i="6"/>
  <c r="N76" i="6"/>
  <c r="N64" i="6"/>
  <c r="N52" i="6"/>
  <c r="N40" i="6"/>
  <c r="N28" i="6"/>
  <c r="N256" i="5"/>
  <c r="N244" i="5"/>
  <c r="N232" i="5"/>
  <c r="N220" i="5"/>
  <c r="N208" i="5"/>
  <c r="N196" i="5"/>
  <c r="N184" i="5"/>
  <c r="N172" i="5"/>
  <c r="N160" i="5"/>
  <c r="N148" i="5"/>
  <c r="N136" i="5"/>
  <c r="N124" i="5"/>
  <c r="N112" i="5"/>
  <c r="N100" i="5"/>
  <c r="N88" i="5"/>
  <c r="N76" i="5"/>
  <c r="N64" i="5"/>
  <c r="N52" i="5"/>
  <c r="N40" i="5"/>
  <c r="N28" i="5"/>
  <c r="N28" i="4"/>
  <c r="L208" i="4"/>
  <c r="N256" i="4"/>
  <c r="N244" i="4"/>
  <c r="N232" i="4"/>
  <c r="N220" i="4"/>
  <c r="N208" i="4"/>
  <c r="N184" i="4"/>
  <c r="N172" i="4"/>
  <c r="N160" i="4"/>
  <c r="N148" i="4"/>
  <c r="N136" i="4"/>
  <c r="N124" i="4"/>
  <c r="N112" i="4"/>
  <c r="N100" i="4"/>
  <c r="N88" i="4"/>
  <c r="N76" i="4"/>
  <c r="N64" i="4"/>
  <c r="N52" i="4"/>
  <c r="N40" i="4"/>
  <c r="N196" i="4"/>
  <c r="J2" i="6"/>
  <c r="I2" i="6"/>
  <c r="I232" i="6" s="1"/>
  <c r="I2" i="13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D264" i="14"/>
  <c r="E263" i="14"/>
  <c r="D263" i="14"/>
  <c r="E262" i="14"/>
  <c r="D262" i="14"/>
  <c r="E261" i="14"/>
  <c r="D261" i="14"/>
  <c r="E260" i="14"/>
  <c r="D260" i="14"/>
  <c r="E259" i="14"/>
  <c r="D259" i="14"/>
  <c r="E258" i="14"/>
  <c r="D258" i="14"/>
  <c r="E257" i="14"/>
  <c r="D257" i="14"/>
  <c r="R256" i="14"/>
  <c r="J256" i="14"/>
  <c r="I256" i="14"/>
  <c r="E256" i="14"/>
  <c r="D256" i="14"/>
  <c r="E255" i="14"/>
  <c r="D255" i="14"/>
  <c r="E254" i="14"/>
  <c r="D254" i="14"/>
  <c r="E253" i="14"/>
  <c r="D253" i="14"/>
  <c r="E252" i="14"/>
  <c r="D252" i="14"/>
  <c r="E251" i="14"/>
  <c r="D251" i="14"/>
  <c r="E250" i="14"/>
  <c r="D250" i="14"/>
  <c r="E249" i="14"/>
  <c r="D249" i="14"/>
  <c r="E248" i="14"/>
  <c r="D248" i="14"/>
  <c r="E247" i="14"/>
  <c r="D247" i="14"/>
  <c r="E246" i="14"/>
  <c r="D246" i="14"/>
  <c r="E245" i="14"/>
  <c r="D245" i="14"/>
  <c r="R244" i="14"/>
  <c r="E244" i="14"/>
  <c r="D244" i="14"/>
  <c r="E243" i="14"/>
  <c r="D243" i="14"/>
  <c r="E242" i="14"/>
  <c r="D242" i="14"/>
  <c r="E241" i="14"/>
  <c r="D241" i="14"/>
  <c r="E240" i="14"/>
  <c r="D240" i="14"/>
  <c r="E239" i="14"/>
  <c r="D239" i="14"/>
  <c r="E238" i="14"/>
  <c r="D238" i="14"/>
  <c r="E237" i="14"/>
  <c r="D237" i="14"/>
  <c r="E236" i="14"/>
  <c r="D236" i="14"/>
  <c r="E235" i="14"/>
  <c r="D235" i="14"/>
  <c r="E234" i="14"/>
  <c r="D234" i="14"/>
  <c r="E233" i="14"/>
  <c r="D233" i="14"/>
  <c r="R232" i="14"/>
  <c r="E232" i="14"/>
  <c r="D232" i="14"/>
  <c r="E231" i="14"/>
  <c r="D231" i="14"/>
  <c r="E230" i="14"/>
  <c r="D230" i="14"/>
  <c r="E229" i="14"/>
  <c r="D229" i="14"/>
  <c r="E228" i="14"/>
  <c r="D228" i="14"/>
  <c r="E227" i="14"/>
  <c r="D227" i="14"/>
  <c r="E226" i="14"/>
  <c r="D226" i="14"/>
  <c r="E225" i="14"/>
  <c r="D225" i="14"/>
  <c r="E224" i="14"/>
  <c r="D224" i="14"/>
  <c r="E223" i="14"/>
  <c r="D223" i="14"/>
  <c r="E222" i="14"/>
  <c r="D222" i="14"/>
  <c r="E221" i="14"/>
  <c r="D221" i="14"/>
  <c r="R220" i="14"/>
  <c r="E220" i="14"/>
  <c r="D220" i="14"/>
  <c r="E219" i="14"/>
  <c r="D219" i="14"/>
  <c r="E218" i="14"/>
  <c r="D218" i="14"/>
  <c r="E217" i="14"/>
  <c r="D217" i="14"/>
  <c r="E216" i="14"/>
  <c r="D216" i="14"/>
  <c r="E215" i="14"/>
  <c r="D215" i="14"/>
  <c r="E214" i="14"/>
  <c r="D214" i="14"/>
  <c r="E213" i="14"/>
  <c r="D213" i="14"/>
  <c r="E212" i="14"/>
  <c r="D212" i="14"/>
  <c r="E211" i="14"/>
  <c r="D211" i="14"/>
  <c r="E210" i="14"/>
  <c r="D210" i="14"/>
  <c r="E209" i="14"/>
  <c r="D209" i="14"/>
  <c r="R208" i="14"/>
  <c r="E208" i="14"/>
  <c r="D208" i="14"/>
  <c r="E207" i="14"/>
  <c r="D207" i="14"/>
  <c r="E206" i="14"/>
  <c r="D206" i="14"/>
  <c r="E205" i="14"/>
  <c r="D205" i="14"/>
  <c r="E204" i="14"/>
  <c r="D204" i="14"/>
  <c r="E203" i="14"/>
  <c r="D203" i="14"/>
  <c r="E202" i="14"/>
  <c r="D202" i="14"/>
  <c r="E201" i="14"/>
  <c r="D201" i="14"/>
  <c r="E200" i="14"/>
  <c r="D200" i="14"/>
  <c r="E199" i="14"/>
  <c r="D199" i="14"/>
  <c r="E198" i="14"/>
  <c r="D198" i="14"/>
  <c r="E197" i="14"/>
  <c r="D197" i="14"/>
  <c r="R196" i="14"/>
  <c r="E196" i="14"/>
  <c r="D196" i="14"/>
  <c r="E195" i="14"/>
  <c r="D195" i="14"/>
  <c r="E194" i="14"/>
  <c r="D194" i="14"/>
  <c r="E193" i="14"/>
  <c r="D193" i="14"/>
  <c r="E192" i="14"/>
  <c r="D192" i="14"/>
  <c r="E191" i="14"/>
  <c r="D191" i="14"/>
  <c r="E190" i="14"/>
  <c r="D190" i="14"/>
  <c r="E189" i="14"/>
  <c r="D189" i="14"/>
  <c r="E188" i="14"/>
  <c r="D188" i="14"/>
  <c r="E187" i="14"/>
  <c r="D187" i="14"/>
  <c r="E186" i="14"/>
  <c r="D186" i="14"/>
  <c r="E185" i="14"/>
  <c r="D185" i="14"/>
  <c r="R184" i="14"/>
  <c r="E184" i="14"/>
  <c r="D184" i="14"/>
  <c r="E183" i="14"/>
  <c r="D183" i="14"/>
  <c r="E182" i="14"/>
  <c r="D182" i="14"/>
  <c r="E181" i="14"/>
  <c r="D181" i="14"/>
  <c r="E180" i="14"/>
  <c r="D180" i="14"/>
  <c r="E179" i="14"/>
  <c r="D179" i="14"/>
  <c r="E178" i="14"/>
  <c r="D178" i="14"/>
  <c r="E177" i="14"/>
  <c r="D177" i="14"/>
  <c r="E176" i="14"/>
  <c r="D176" i="14"/>
  <c r="E175" i="14"/>
  <c r="D175" i="14"/>
  <c r="E174" i="14"/>
  <c r="D174" i="14"/>
  <c r="E173" i="14"/>
  <c r="D173" i="14"/>
  <c r="R172" i="14"/>
  <c r="E172" i="14"/>
  <c r="D172" i="14"/>
  <c r="E171" i="14"/>
  <c r="D171" i="14"/>
  <c r="E170" i="14"/>
  <c r="D170" i="14"/>
  <c r="E169" i="14"/>
  <c r="D169" i="14"/>
  <c r="E168" i="14"/>
  <c r="D168" i="14"/>
  <c r="E167" i="14"/>
  <c r="D167" i="14"/>
  <c r="E166" i="14"/>
  <c r="D166" i="14"/>
  <c r="E165" i="14"/>
  <c r="D165" i="14"/>
  <c r="E164" i="14"/>
  <c r="D164" i="14"/>
  <c r="E163" i="14"/>
  <c r="D163" i="14"/>
  <c r="E162" i="14"/>
  <c r="D162" i="14"/>
  <c r="E161" i="14"/>
  <c r="D161" i="14"/>
  <c r="R160" i="14"/>
  <c r="E160" i="14"/>
  <c r="D160" i="14"/>
  <c r="E159" i="14"/>
  <c r="D159" i="14"/>
  <c r="E158" i="14"/>
  <c r="D158" i="14"/>
  <c r="E157" i="14"/>
  <c r="D157" i="14"/>
  <c r="E156" i="14"/>
  <c r="D156" i="14"/>
  <c r="E155" i="14"/>
  <c r="D155" i="14"/>
  <c r="E154" i="14"/>
  <c r="D154" i="14"/>
  <c r="E153" i="14"/>
  <c r="D153" i="14"/>
  <c r="E152" i="14"/>
  <c r="D152" i="14"/>
  <c r="E151" i="14"/>
  <c r="D151" i="14"/>
  <c r="E150" i="14"/>
  <c r="D150" i="14"/>
  <c r="E149" i="14"/>
  <c r="D149" i="14"/>
  <c r="R148" i="14"/>
  <c r="E148" i="14"/>
  <c r="D148" i="14"/>
  <c r="E147" i="14"/>
  <c r="D147" i="14"/>
  <c r="E146" i="14"/>
  <c r="D146" i="14"/>
  <c r="E145" i="14"/>
  <c r="D145" i="14"/>
  <c r="E144" i="14"/>
  <c r="D144" i="14"/>
  <c r="E143" i="14"/>
  <c r="D143" i="14"/>
  <c r="E142" i="14"/>
  <c r="D142" i="14"/>
  <c r="E141" i="14"/>
  <c r="D141" i="14"/>
  <c r="E140" i="14"/>
  <c r="D140" i="14"/>
  <c r="E139" i="14"/>
  <c r="D139" i="14"/>
  <c r="E138" i="14"/>
  <c r="D138" i="14"/>
  <c r="E137" i="14"/>
  <c r="D137" i="14"/>
  <c r="R136" i="14"/>
  <c r="E136" i="14"/>
  <c r="D136" i="14"/>
  <c r="E135" i="14"/>
  <c r="D135" i="14"/>
  <c r="E134" i="14"/>
  <c r="D134" i="14"/>
  <c r="E133" i="14"/>
  <c r="D133" i="14"/>
  <c r="E132" i="14"/>
  <c r="D132" i="14"/>
  <c r="E131" i="14"/>
  <c r="D131" i="14"/>
  <c r="E130" i="14"/>
  <c r="D130" i="14"/>
  <c r="E129" i="14"/>
  <c r="D129" i="14"/>
  <c r="E128" i="14"/>
  <c r="D128" i="14"/>
  <c r="E127" i="14"/>
  <c r="D127" i="14"/>
  <c r="E126" i="14"/>
  <c r="D126" i="14"/>
  <c r="E125" i="14"/>
  <c r="D125" i="14"/>
  <c r="R124" i="14"/>
  <c r="E124" i="14"/>
  <c r="J124" i="14" s="1"/>
  <c r="D124" i="14"/>
  <c r="E123" i="14"/>
  <c r="D123" i="14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E116" i="14"/>
  <c r="D116" i="14"/>
  <c r="E115" i="14"/>
  <c r="D115" i="14"/>
  <c r="E114" i="14"/>
  <c r="D114" i="14"/>
  <c r="E113" i="14"/>
  <c r="D113" i="14"/>
  <c r="R112" i="14"/>
  <c r="E112" i="14"/>
  <c r="D112" i="14"/>
  <c r="E111" i="14"/>
  <c r="D111" i="14"/>
  <c r="E110" i="14"/>
  <c r="D110" i="14"/>
  <c r="E109" i="14"/>
  <c r="D109" i="14"/>
  <c r="E108" i="14"/>
  <c r="D108" i="14"/>
  <c r="E107" i="14"/>
  <c r="D107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R100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E93" i="14"/>
  <c r="D93" i="14"/>
  <c r="E92" i="14"/>
  <c r="D92" i="14"/>
  <c r="E91" i="14"/>
  <c r="D91" i="14"/>
  <c r="E90" i="14"/>
  <c r="D90" i="14"/>
  <c r="E89" i="14"/>
  <c r="D89" i="14"/>
  <c r="R88" i="14"/>
  <c r="J88" i="14"/>
  <c r="I88" i="14"/>
  <c r="K88" i="14" s="1"/>
  <c r="E88" i="14"/>
  <c r="D88" i="14"/>
  <c r="E87" i="14"/>
  <c r="D87" i="14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R76" i="14"/>
  <c r="E76" i="14"/>
  <c r="D76" i="14"/>
  <c r="E75" i="14"/>
  <c r="D75" i="14"/>
  <c r="E74" i="14"/>
  <c r="D74" i="14"/>
  <c r="E73" i="14"/>
  <c r="D73" i="14"/>
  <c r="E72" i="14"/>
  <c r="D72" i="14"/>
  <c r="E71" i="14"/>
  <c r="D71" i="14"/>
  <c r="E70" i="14"/>
  <c r="D70" i="14"/>
  <c r="E69" i="14"/>
  <c r="D69" i="14"/>
  <c r="E68" i="14"/>
  <c r="D68" i="14"/>
  <c r="E67" i="14"/>
  <c r="D67" i="14"/>
  <c r="E66" i="14"/>
  <c r="D66" i="14"/>
  <c r="E65" i="14"/>
  <c r="D65" i="14"/>
  <c r="R64" i="14"/>
  <c r="E64" i="14"/>
  <c r="D64" i="14"/>
  <c r="E63" i="14"/>
  <c r="D63" i="14"/>
  <c r="E62" i="14"/>
  <c r="D62" i="14"/>
  <c r="E61" i="14"/>
  <c r="D61" i="14"/>
  <c r="E60" i="14"/>
  <c r="D60" i="14"/>
  <c r="E59" i="14"/>
  <c r="D59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R52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R40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R28" i="14"/>
  <c r="E28" i="14"/>
  <c r="D28" i="14"/>
  <c r="E27" i="14"/>
  <c r="D27" i="14"/>
  <c r="E26" i="14"/>
  <c r="D26" i="14"/>
  <c r="E25" i="14"/>
  <c r="D25" i="14"/>
  <c r="E24" i="14"/>
  <c r="D24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J2" i="14"/>
  <c r="J232" i="14" s="1"/>
  <c r="I2" i="14"/>
  <c r="I52" i="14" s="1"/>
  <c r="J2" i="13"/>
  <c r="I28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D264" i="13"/>
  <c r="E263" i="13"/>
  <c r="D263" i="13"/>
  <c r="E262" i="13"/>
  <c r="D262" i="13"/>
  <c r="E261" i="13"/>
  <c r="D261" i="13"/>
  <c r="E260" i="13"/>
  <c r="D260" i="13"/>
  <c r="E259" i="13"/>
  <c r="D259" i="13"/>
  <c r="E258" i="13"/>
  <c r="D258" i="13"/>
  <c r="E257" i="13"/>
  <c r="D257" i="13"/>
  <c r="R256" i="13"/>
  <c r="J256" i="13"/>
  <c r="I256" i="13"/>
  <c r="K256" i="13" s="1"/>
  <c r="E256" i="13"/>
  <c r="D256" i="13"/>
  <c r="E255" i="13"/>
  <c r="D255" i="13"/>
  <c r="E254" i="13"/>
  <c r="D254" i="13"/>
  <c r="E253" i="13"/>
  <c r="D253" i="13"/>
  <c r="E252" i="13"/>
  <c r="D252" i="13"/>
  <c r="E251" i="13"/>
  <c r="D251" i="13"/>
  <c r="E250" i="13"/>
  <c r="D250" i="13"/>
  <c r="E249" i="13"/>
  <c r="D249" i="13"/>
  <c r="E248" i="13"/>
  <c r="D248" i="13"/>
  <c r="E247" i="13"/>
  <c r="D247" i="13"/>
  <c r="E246" i="13"/>
  <c r="D246" i="13"/>
  <c r="E245" i="13"/>
  <c r="D245" i="13"/>
  <c r="R244" i="13"/>
  <c r="J244" i="13"/>
  <c r="I244" i="13"/>
  <c r="K244" i="13" s="1"/>
  <c r="E244" i="13"/>
  <c r="D244" i="13"/>
  <c r="E243" i="13"/>
  <c r="D243" i="13"/>
  <c r="E242" i="13"/>
  <c r="D242" i="13"/>
  <c r="E241" i="13"/>
  <c r="D241" i="13"/>
  <c r="E240" i="13"/>
  <c r="D240" i="13"/>
  <c r="E239" i="13"/>
  <c r="D239" i="13"/>
  <c r="E238" i="13"/>
  <c r="D238" i="13"/>
  <c r="E237" i="13"/>
  <c r="D237" i="13"/>
  <c r="E236" i="13"/>
  <c r="D236" i="13"/>
  <c r="E235" i="13"/>
  <c r="D235" i="13"/>
  <c r="E234" i="13"/>
  <c r="D234" i="13"/>
  <c r="E233" i="13"/>
  <c r="D233" i="13"/>
  <c r="R232" i="13"/>
  <c r="J232" i="13"/>
  <c r="E232" i="13"/>
  <c r="D232" i="13"/>
  <c r="I232" i="13" s="1"/>
  <c r="E231" i="13"/>
  <c r="D231" i="13"/>
  <c r="E230" i="13"/>
  <c r="D230" i="13"/>
  <c r="E229" i="13"/>
  <c r="D229" i="13"/>
  <c r="E228" i="13"/>
  <c r="D228" i="13"/>
  <c r="E227" i="13"/>
  <c r="D227" i="13"/>
  <c r="E226" i="13"/>
  <c r="D226" i="13"/>
  <c r="E225" i="13"/>
  <c r="D225" i="13"/>
  <c r="E224" i="13"/>
  <c r="D224" i="13"/>
  <c r="E223" i="13"/>
  <c r="D223" i="13"/>
  <c r="E222" i="13"/>
  <c r="D222" i="13"/>
  <c r="E221" i="13"/>
  <c r="D221" i="13"/>
  <c r="R220" i="13"/>
  <c r="E220" i="13"/>
  <c r="J220" i="13" s="1"/>
  <c r="D220" i="13"/>
  <c r="I220" i="13" s="1"/>
  <c r="K220" i="13" s="1"/>
  <c r="E219" i="13"/>
  <c r="D219" i="13"/>
  <c r="E218" i="13"/>
  <c r="D218" i="13"/>
  <c r="E217" i="13"/>
  <c r="D217" i="13"/>
  <c r="E216" i="13"/>
  <c r="D216" i="13"/>
  <c r="E215" i="13"/>
  <c r="D215" i="13"/>
  <c r="E214" i="13"/>
  <c r="D214" i="13"/>
  <c r="E213" i="13"/>
  <c r="D213" i="13"/>
  <c r="E212" i="13"/>
  <c r="D212" i="13"/>
  <c r="E211" i="13"/>
  <c r="D211" i="13"/>
  <c r="E210" i="13"/>
  <c r="D210" i="13"/>
  <c r="E209" i="13"/>
  <c r="D209" i="13"/>
  <c r="R208" i="13"/>
  <c r="E208" i="13"/>
  <c r="D208" i="13"/>
  <c r="I208" i="13" s="1"/>
  <c r="E207" i="13"/>
  <c r="D207" i="13"/>
  <c r="E206" i="13"/>
  <c r="D206" i="13"/>
  <c r="E205" i="13"/>
  <c r="D205" i="13"/>
  <c r="E204" i="13"/>
  <c r="D204" i="13"/>
  <c r="E203" i="13"/>
  <c r="D203" i="13"/>
  <c r="E202" i="13"/>
  <c r="D202" i="13"/>
  <c r="E201" i="13"/>
  <c r="D201" i="13"/>
  <c r="E200" i="13"/>
  <c r="D200" i="13"/>
  <c r="E199" i="13"/>
  <c r="D199" i="13"/>
  <c r="E198" i="13"/>
  <c r="D198" i="13"/>
  <c r="E197" i="13"/>
  <c r="D197" i="13"/>
  <c r="R196" i="13"/>
  <c r="I196" i="13"/>
  <c r="E196" i="13"/>
  <c r="J196" i="13" s="1"/>
  <c r="D196" i="13"/>
  <c r="E195" i="13"/>
  <c r="D195" i="13"/>
  <c r="E194" i="13"/>
  <c r="D194" i="13"/>
  <c r="E193" i="13"/>
  <c r="D193" i="13"/>
  <c r="E192" i="13"/>
  <c r="D192" i="13"/>
  <c r="E191" i="13"/>
  <c r="D191" i="13"/>
  <c r="E190" i="13"/>
  <c r="D190" i="13"/>
  <c r="E189" i="13"/>
  <c r="D189" i="13"/>
  <c r="E188" i="13"/>
  <c r="D188" i="13"/>
  <c r="E187" i="13"/>
  <c r="D187" i="13"/>
  <c r="E186" i="13"/>
  <c r="D186" i="13"/>
  <c r="E185" i="13"/>
  <c r="D185" i="13"/>
  <c r="R184" i="13"/>
  <c r="J184" i="13"/>
  <c r="E184" i="13"/>
  <c r="D184" i="13"/>
  <c r="I184" i="13" s="1"/>
  <c r="K184" i="13" s="1"/>
  <c r="E183" i="13"/>
  <c r="D183" i="13"/>
  <c r="E182" i="13"/>
  <c r="D182" i="13"/>
  <c r="E181" i="13"/>
  <c r="D181" i="13"/>
  <c r="E180" i="13"/>
  <c r="D180" i="13"/>
  <c r="E179" i="13"/>
  <c r="D179" i="13"/>
  <c r="E178" i="13"/>
  <c r="D178" i="13"/>
  <c r="E177" i="13"/>
  <c r="D177" i="13"/>
  <c r="E176" i="13"/>
  <c r="D176" i="13"/>
  <c r="E175" i="13"/>
  <c r="D175" i="13"/>
  <c r="E174" i="13"/>
  <c r="D174" i="13"/>
  <c r="E173" i="13"/>
  <c r="D173" i="13"/>
  <c r="R172" i="13"/>
  <c r="E172" i="13"/>
  <c r="J172" i="13" s="1"/>
  <c r="D172" i="13"/>
  <c r="I172" i="13" s="1"/>
  <c r="E171" i="13"/>
  <c r="D171" i="13"/>
  <c r="E170" i="13"/>
  <c r="D170" i="13"/>
  <c r="E169" i="13"/>
  <c r="D169" i="13"/>
  <c r="E168" i="13"/>
  <c r="D168" i="13"/>
  <c r="E167" i="13"/>
  <c r="D167" i="13"/>
  <c r="E166" i="13"/>
  <c r="D166" i="13"/>
  <c r="E165" i="13"/>
  <c r="D165" i="13"/>
  <c r="E164" i="13"/>
  <c r="D164" i="13"/>
  <c r="E163" i="13"/>
  <c r="D163" i="13"/>
  <c r="E162" i="13"/>
  <c r="D162" i="13"/>
  <c r="E161" i="13"/>
  <c r="D161" i="13"/>
  <c r="R160" i="13"/>
  <c r="E160" i="13"/>
  <c r="J160" i="13" s="1"/>
  <c r="D160" i="13"/>
  <c r="I160" i="13" s="1"/>
  <c r="E159" i="13"/>
  <c r="D159" i="13"/>
  <c r="E158" i="13"/>
  <c r="D158" i="13"/>
  <c r="E157" i="13"/>
  <c r="D157" i="13"/>
  <c r="E156" i="13"/>
  <c r="D156" i="13"/>
  <c r="E155" i="13"/>
  <c r="D155" i="13"/>
  <c r="E154" i="13"/>
  <c r="D154" i="13"/>
  <c r="E153" i="13"/>
  <c r="D153" i="13"/>
  <c r="E152" i="13"/>
  <c r="D152" i="13"/>
  <c r="E151" i="13"/>
  <c r="D151" i="13"/>
  <c r="E150" i="13"/>
  <c r="D150" i="13"/>
  <c r="E149" i="13"/>
  <c r="D149" i="13"/>
  <c r="R148" i="13"/>
  <c r="E148" i="13"/>
  <c r="J148" i="13" s="1"/>
  <c r="D148" i="13"/>
  <c r="E147" i="13"/>
  <c r="D147" i="13"/>
  <c r="E146" i="13"/>
  <c r="D146" i="13"/>
  <c r="E145" i="13"/>
  <c r="D145" i="13"/>
  <c r="E144" i="13"/>
  <c r="D144" i="13"/>
  <c r="E143" i="13"/>
  <c r="D143" i="13"/>
  <c r="E142" i="13"/>
  <c r="D142" i="13"/>
  <c r="E141" i="13"/>
  <c r="D141" i="13"/>
  <c r="E140" i="13"/>
  <c r="D140" i="13"/>
  <c r="E139" i="13"/>
  <c r="D139" i="13"/>
  <c r="E138" i="13"/>
  <c r="D138" i="13"/>
  <c r="E137" i="13"/>
  <c r="D137" i="13"/>
  <c r="R136" i="13"/>
  <c r="I136" i="13"/>
  <c r="E136" i="13"/>
  <c r="J136" i="13" s="1"/>
  <c r="M136" i="13" s="1"/>
  <c r="D136" i="13"/>
  <c r="E135" i="13"/>
  <c r="D135" i="13"/>
  <c r="E134" i="13"/>
  <c r="D134" i="13"/>
  <c r="E133" i="13"/>
  <c r="D133" i="13"/>
  <c r="E132" i="13"/>
  <c r="D132" i="13"/>
  <c r="E131" i="13"/>
  <c r="D131" i="13"/>
  <c r="E130" i="13"/>
  <c r="D130" i="13"/>
  <c r="E129" i="13"/>
  <c r="D129" i="13"/>
  <c r="E128" i="13"/>
  <c r="D128" i="13"/>
  <c r="E127" i="13"/>
  <c r="D127" i="13"/>
  <c r="E126" i="13"/>
  <c r="D126" i="13"/>
  <c r="E125" i="13"/>
  <c r="D125" i="13"/>
  <c r="R124" i="13"/>
  <c r="E124" i="13"/>
  <c r="J124" i="13" s="1"/>
  <c r="D124" i="13"/>
  <c r="I124" i="13" s="1"/>
  <c r="E123" i="13"/>
  <c r="D123" i="13"/>
  <c r="E122" i="13"/>
  <c r="D122" i="13"/>
  <c r="E121" i="13"/>
  <c r="D121" i="13"/>
  <c r="E120" i="13"/>
  <c r="D120" i="13"/>
  <c r="E119" i="13"/>
  <c r="D119" i="13"/>
  <c r="E118" i="13"/>
  <c r="D118" i="13"/>
  <c r="E117" i="13"/>
  <c r="D117" i="13"/>
  <c r="E116" i="13"/>
  <c r="D116" i="13"/>
  <c r="E115" i="13"/>
  <c r="D115" i="13"/>
  <c r="E114" i="13"/>
  <c r="D114" i="13"/>
  <c r="E113" i="13"/>
  <c r="D113" i="13"/>
  <c r="R112" i="13"/>
  <c r="E112" i="13"/>
  <c r="D112" i="13"/>
  <c r="E111" i="13"/>
  <c r="D111" i="13"/>
  <c r="E110" i="13"/>
  <c r="D110" i="13"/>
  <c r="E109" i="13"/>
  <c r="D109" i="13"/>
  <c r="E108" i="13"/>
  <c r="D108" i="13"/>
  <c r="E107" i="13"/>
  <c r="D107" i="13"/>
  <c r="E106" i="13"/>
  <c r="D106" i="13"/>
  <c r="E105" i="13"/>
  <c r="D105" i="13"/>
  <c r="E104" i="13"/>
  <c r="D104" i="13"/>
  <c r="E103" i="13"/>
  <c r="D103" i="13"/>
  <c r="E102" i="13"/>
  <c r="D102" i="13"/>
  <c r="E101" i="13"/>
  <c r="D101" i="13"/>
  <c r="R100" i="13"/>
  <c r="J100" i="13"/>
  <c r="I100" i="13"/>
  <c r="K100" i="13" s="1"/>
  <c r="E100" i="13"/>
  <c r="D100" i="13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R88" i="13"/>
  <c r="J88" i="13"/>
  <c r="I88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R76" i="13"/>
  <c r="E76" i="13"/>
  <c r="J76" i="13" s="1"/>
  <c r="D76" i="13"/>
  <c r="I76" i="13" s="1"/>
  <c r="K76" i="13" s="1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R64" i="13"/>
  <c r="E64" i="13"/>
  <c r="J64" i="13" s="1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R52" i="13"/>
  <c r="E52" i="13"/>
  <c r="J52" i="13" s="1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R40" i="13"/>
  <c r="I40" i="13"/>
  <c r="E40" i="13"/>
  <c r="J40" i="13" s="1"/>
  <c r="M40" i="13" s="1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E30" i="13"/>
  <c r="D30" i="13"/>
  <c r="E29" i="13"/>
  <c r="D29" i="13"/>
  <c r="R28" i="13"/>
  <c r="J28" i="13"/>
  <c r="M28" i="13" s="1"/>
  <c r="K28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J256" i="6"/>
  <c r="I256" i="6"/>
  <c r="J244" i="6"/>
  <c r="I244" i="6"/>
  <c r="J232" i="6"/>
  <c r="J220" i="6"/>
  <c r="I220" i="6"/>
  <c r="J208" i="6"/>
  <c r="I208" i="6"/>
  <c r="J196" i="6"/>
  <c r="J184" i="6"/>
  <c r="I184" i="6"/>
  <c r="J172" i="6"/>
  <c r="I172" i="6"/>
  <c r="J160" i="6"/>
  <c r="I160" i="6"/>
  <c r="J148" i="6"/>
  <c r="I148" i="6"/>
  <c r="J136" i="6"/>
  <c r="I136" i="6"/>
  <c r="J124" i="6"/>
  <c r="I124" i="6"/>
  <c r="J112" i="6"/>
  <c r="I112" i="6"/>
  <c r="J100" i="6"/>
  <c r="J88" i="6"/>
  <c r="I88" i="6"/>
  <c r="J76" i="6"/>
  <c r="I76" i="6"/>
  <c r="J64" i="6"/>
  <c r="I64" i="6"/>
  <c r="J52" i="6"/>
  <c r="I52" i="6"/>
  <c r="J40" i="6"/>
  <c r="I40" i="6"/>
  <c r="J28" i="6"/>
  <c r="I28" i="6"/>
  <c r="J256" i="5"/>
  <c r="I256" i="5"/>
  <c r="J244" i="5"/>
  <c r="I244" i="5"/>
  <c r="J232" i="5"/>
  <c r="I232" i="5"/>
  <c r="J220" i="5"/>
  <c r="I220" i="5"/>
  <c r="J208" i="5"/>
  <c r="I208" i="5"/>
  <c r="J196" i="5"/>
  <c r="I196" i="5"/>
  <c r="J184" i="5"/>
  <c r="I184" i="5"/>
  <c r="J172" i="5"/>
  <c r="I172" i="5"/>
  <c r="J160" i="5"/>
  <c r="I160" i="5"/>
  <c r="J148" i="5"/>
  <c r="I148" i="5"/>
  <c r="J136" i="5"/>
  <c r="I136" i="5"/>
  <c r="J124" i="5"/>
  <c r="I124" i="5"/>
  <c r="J112" i="5"/>
  <c r="I112" i="5"/>
  <c r="J100" i="5"/>
  <c r="I100" i="5"/>
  <c r="J88" i="5"/>
  <c r="I88" i="5"/>
  <c r="J76" i="5"/>
  <c r="I76" i="5"/>
  <c r="J64" i="5"/>
  <c r="I64" i="5"/>
  <c r="J52" i="5"/>
  <c r="I52" i="5"/>
  <c r="J40" i="5"/>
  <c r="I40" i="5"/>
  <c r="J28" i="5"/>
  <c r="I28" i="5"/>
  <c r="J256" i="4"/>
  <c r="I256" i="4"/>
  <c r="J244" i="4"/>
  <c r="I244" i="4"/>
  <c r="J232" i="4"/>
  <c r="I232" i="4"/>
  <c r="J220" i="4"/>
  <c r="I220" i="4"/>
  <c r="J208" i="4"/>
  <c r="I208" i="4"/>
  <c r="J196" i="4"/>
  <c r="I196" i="4"/>
  <c r="J184" i="4"/>
  <c r="I184" i="4"/>
  <c r="J172" i="4"/>
  <c r="I172" i="4"/>
  <c r="J160" i="4"/>
  <c r="I160" i="4"/>
  <c r="J148" i="4"/>
  <c r="I148" i="4"/>
  <c r="J136" i="4"/>
  <c r="I136" i="4"/>
  <c r="J124" i="4"/>
  <c r="I124" i="4"/>
  <c r="J112" i="4"/>
  <c r="I112" i="4"/>
  <c r="J100" i="4"/>
  <c r="I100" i="4"/>
  <c r="J88" i="4"/>
  <c r="I88" i="4"/>
  <c r="J76" i="4"/>
  <c r="I76" i="4"/>
  <c r="J64" i="4"/>
  <c r="I64" i="4"/>
  <c r="J52" i="4"/>
  <c r="I52" i="4"/>
  <c r="J40" i="4"/>
  <c r="I40" i="4"/>
  <c r="J28" i="4"/>
  <c r="I28" i="4"/>
  <c r="I28" i="3"/>
  <c r="J28" i="3"/>
  <c r="J256" i="3"/>
  <c r="I256" i="3"/>
  <c r="J244" i="3"/>
  <c r="I244" i="3"/>
  <c r="J232" i="3"/>
  <c r="I232" i="3"/>
  <c r="J220" i="3"/>
  <c r="I220" i="3"/>
  <c r="J208" i="3"/>
  <c r="I208" i="3"/>
  <c r="J196" i="3"/>
  <c r="I196" i="3"/>
  <c r="J184" i="3"/>
  <c r="I184" i="3"/>
  <c r="J172" i="3"/>
  <c r="I172" i="3"/>
  <c r="J160" i="3"/>
  <c r="I160" i="3"/>
  <c r="J148" i="3"/>
  <c r="I148" i="3"/>
  <c r="J136" i="3"/>
  <c r="I136" i="3"/>
  <c r="J124" i="3"/>
  <c r="I124" i="3"/>
  <c r="J112" i="3"/>
  <c r="I112" i="3"/>
  <c r="J100" i="3"/>
  <c r="I100" i="3"/>
  <c r="J88" i="3"/>
  <c r="I88" i="3"/>
  <c r="J76" i="3"/>
  <c r="I76" i="3"/>
  <c r="J64" i="3"/>
  <c r="I64" i="3"/>
  <c r="J52" i="3"/>
  <c r="I52" i="3"/>
  <c r="J40" i="3"/>
  <c r="I40" i="3"/>
  <c r="R256" i="6"/>
  <c r="R244" i="6"/>
  <c r="R232" i="6"/>
  <c r="R220" i="6"/>
  <c r="R208" i="6"/>
  <c r="R196" i="6"/>
  <c r="R184" i="6"/>
  <c r="R172" i="6"/>
  <c r="R160" i="6"/>
  <c r="R148" i="6"/>
  <c r="R136" i="6"/>
  <c r="R124" i="6"/>
  <c r="R112" i="6"/>
  <c r="R100" i="6"/>
  <c r="R88" i="6"/>
  <c r="R76" i="6"/>
  <c r="R64" i="6"/>
  <c r="R52" i="6"/>
  <c r="R40" i="6"/>
  <c r="R28" i="6"/>
  <c r="R256" i="5"/>
  <c r="R244" i="5"/>
  <c r="R232" i="5"/>
  <c r="R220" i="5"/>
  <c r="R208" i="5"/>
  <c r="R196" i="5"/>
  <c r="R184" i="5"/>
  <c r="R172" i="5"/>
  <c r="R160" i="5"/>
  <c r="R148" i="5"/>
  <c r="R136" i="5"/>
  <c r="R124" i="5"/>
  <c r="R112" i="5"/>
  <c r="R100" i="5"/>
  <c r="R88" i="5"/>
  <c r="R76" i="5"/>
  <c r="R64" i="5"/>
  <c r="R52" i="5"/>
  <c r="R40" i="5"/>
  <c r="R28" i="5"/>
  <c r="R256" i="4"/>
  <c r="R244" i="4"/>
  <c r="R232" i="4"/>
  <c r="R220" i="4"/>
  <c r="R208" i="4"/>
  <c r="R196" i="4"/>
  <c r="R184" i="4"/>
  <c r="R172" i="4"/>
  <c r="R160" i="4"/>
  <c r="R148" i="4"/>
  <c r="R136" i="4"/>
  <c r="R124" i="4"/>
  <c r="R112" i="4"/>
  <c r="R100" i="4"/>
  <c r="R88" i="4"/>
  <c r="R76" i="4"/>
  <c r="R64" i="4"/>
  <c r="R52" i="4"/>
  <c r="R40" i="4"/>
  <c r="R28" i="4"/>
  <c r="R256" i="3"/>
  <c r="R244" i="3"/>
  <c r="R232" i="3"/>
  <c r="R220" i="3"/>
  <c r="R208" i="3"/>
  <c r="R196" i="3"/>
  <c r="R184" i="3"/>
  <c r="R172" i="3"/>
  <c r="R160" i="3"/>
  <c r="R148" i="3"/>
  <c r="R136" i="3"/>
  <c r="R124" i="3"/>
  <c r="R112" i="3"/>
  <c r="R100" i="3"/>
  <c r="R88" i="3"/>
  <c r="R76" i="3"/>
  <c r="R64" i="3"/>
  <c r="R52" i="3"/>
  <c r="R40" i="3"/>
  <c r="R28" i="3"/>
  <c r="I196" i="6" l="1"/>
  <c r="I100" i="6"/>
  <c r="M28" i="3"/>
  <c r="J244" i="14"/>
  <c r="M244" i="14" s="1"/>
  <c r="O244" i="14" s="1"/>
  <c r="J100" i="14"/>
  <c r="K256" i="14"/>
  <c r="O256" i="14" s="1"/>
  <c r="I244" i="14"/>
  <c r="K244" i="14" s="1"/>
  <c r="L244" i="14" s="1"/>
  <c r="P244" i="14" s="1"/>
  <c r="I100" i="14"/>
  <c r="I112" i="14"/>
  <c r="J136" i="14"/>
  <c r="I136" i="14"/>
  <c r="K136" i="14" s="1"/>
  <c r="P88" i="14"/>
  <c r="L88" i="14"/>
  <c r="K52" i="14"/>
  <c r="L256" i="14"/>
  <c r="P256" i="14" s="1"/>
  <c r="M100" i="14"/>
  <c r="I124" i="14"/>
  <c r="K124" i="14" s="1"/>
  <c r="M124" i="14"/>
  <c r="M256" i="14"/>
  <c r="M88" i="14"/>
  <c r="O88" i="14" s="1"/>
  <c r="J112" i="14"/>
  <c r="M112" i="14" s="1"/>
  <c r="J160" i="14"/>
  <c r="I172" i="14"/>
  <c r="J148" i="14"/>
  <c r="I208" i="14"/>
  <c r="J52" i="14"/>
  <c r="M52" i="14" s="1"/>
  <c r="I64" i="14"/>
  <c r="J208" i="14"/>
  <c r="I160" i="14"/>
  <c r="K160" i="14" s="1"/>
  <c r="I28" i="14"/>
  <c r="J172" i="14"/>
  <c r="M172" i="14" s="1"/>
  <c r="J28" i="14"/>
  <c r="M28" i="14" s="1"/>
  <c r="J64" i="14"/>
  <c r="M64" i="14" s="1"/>
  <c r="I220" i="14"/>
  <c r="I184" i="14"/>
  <c r="J184" i="14"/>
  <c r="M184" i="14" s="1"/>
  <c r="I40" i="14"/>
  <c r="K40" i="14" s="1"/>
  <c r="J196" i="14"/>
  <c r="M196" i="14" s="1"/>
  <c r="I76" i="14"/>
  <c r="K76" i="14" s="1"/>
  <c r="J220" i="14"/>
  <c r="M220" i="14" s="1"/>
  <c r="I232" i="14"/>
  <c r="I148" i="14"/>
  <c r="I196" i="14"/>
  <c r="J40" i="14"/>
  <c r="J76" i="14"/>
  <c r="M232" i="13"/>
  <c r="K88" i="13"/>
  <c r="K160" i="13"/>
  <c r="M244" i="13"/>
  <c r="O244" i="13" s="1"/>
  <c r="M124" i="13"/>
  <c r="M172" i="13"/>
  <c r="M100" i="13"/>
  <c r="O100" i="13" s="1"/>
  <c r="M196" i="13"/>
  <c r="M256" i="13"/>
  <c r="L184" i="13"/>
  <c r="P184" i="13"/>
  <c r="K124" i="13"/>
  <c r="M184" i="13"/>
  <c r="O184" i="13" s="1"/>
  <c r="I112" i="13"/>
  <c r="K112" i="13" s="1"/>
  <c r="M76" i="13"/>
  <c r="O76" i="13" s="1"/>
  <c r="L244" i="13"/>
  <c r="P244" i="13" s="1"/>
  <c r="K232" i="13"/>
  <c r="L76" i="13"/>
  <c r="P76" i="13" s="1"/>
  <c r="K196" i="13"/>
  <c r="K136" i="13"/>
  <c r="O28" i="13"/>
  <c r="L28" i="13"/>
  <c r="P28" i="13" s="1"/>
  <c r="P88" i="13"/>
  <c r="L88" i="13"/>
  <c r="O256" i="13"/>
  <c r="L256" i="13"/>
  <c r="P256" i="13" s="1"/>
  <c r="M88" i="13"/>
  <c r="O88" i="13" s="1"/>
  <c r="S88" i="13" s="1"/>
  <c r="L160" i="13"/>
  <c r="P160" i="13" s="1"/>
  <c r="K40" i="13"/>
  <c r="M160" i="13"/>
  <c r="O160" i="13" s="1"/>
  <c r="P220" i="13"/>
  <c r="M220" i="13"/>
  <c r="O220" i="13" s="1"/>
  <c r="L100" i="13"/>
  <c r="P100" i="13" s="1"/>
  <c r="L220" i="13"/>
  <c r="K172" i="13"/>
  <c r="J112" i="13"/>
  <c r="I148" i="13"/>
  <c r="K148" i="13" s="1"/>
  <c r="I52" i="13"/>
  <c r="K52" i="13" s="1"/>
  <c r="I64" i="13"/>
  <c r="K64" i="13" s="1"/>
  <c r="J208" i="13"/>
  <c r="M208" i="13" s="1"/>
  <c r="M28" i="6"/>
  <c r="S88" i="14" l="1"/>
  <c r="O100" i="14"/>
  <c r="K208" i="14"/>
  <c r="L208" i="14" s="1"/>
  <c r="M148" i="14"/>
  <c r="M136" i="14"/>
  <c r="K100" i="14"/>
  <c r="L76" i="14"/>
  <c r="P76" i="14" s="1"/>
  <c r="L52" i="14"/>
  <c r="P52" i="14"/>
  <c r="O52" i="14"/>
  <c r="M208" i="14"/>
  <c r="P136" i="14"/>
  <c r="L136" i="14"/>
  <c r="O136" i="14"/>
  <c r="K220" i="14"/>
  <c r="K28" i="14"/>
  <c r="K64" i="14"/>
  <c r="L40" i="14"/>
  <c r="P40" i="14"/>
  <c r="K184" i="14"/>
  <c r="M76" i="14"/>
  <c r="O76" i="14" s="1"/>
  <c r="S76" i="14" s="1"/>
  <c r="M40" i="14"/>
  <c r="O40" i="14" s="1"/>
  <c r="S40" i="14" s="1"/>
  <c r="K172" i="14"/>
  <c r="M160" i="14"/>
  <c r="K148" i="14"/>
  <c r="K112" i="14"/>
  <c r="L124" i="14"/>
  <c r="P124" i="14"/>
  <c r="O124" i="14"/>
  <c r="O160" i="14"/>
  <c r="L160" i="14"/>
  <c r="P160" i="14" s="1"/>
  <c r="K196" i="14"/>
  <c r="M232" i="14"/>
  <c r="K232" i="14"/>
  <c r="S76" i="13"/>
  <c r="S220" i="13"/>
  <c r="S184" i="13"/>
  <c r="L64" i="13"/>
  <c r="P64" i="13" s="1"/>
  <c r="L52" i="13"/>
  <c r="P52" i="13"/>
  <c r="L112" i="13"/>
  <c r="P112" i="13" s="1"/>
  <c r="M148" i="13"/>
  <c r="O148" i="13" s="1"/>
  <c r="O40" i="13"/>
  <c r="L40" i="13"/>
  <c r="P40" i="13" s="1"/>
  <c r="S100" i="13"/>
  <c r="L124" i="13"/>
  <c r="P124" i="13" s="1"/>
  <c r="O124" i="13"/>
  <c r="S160" i="13"/>
  <c r="L232" i="13"/>
  <c r="P232" i="13" s="1"/>
  <c r="O232" i="13"/>
  <c r="K208" i="13"/>
  <c r="M112" i="13"/>
  <c r="O112" i="13" s="1"/>
  <c r="O172" i="13"/>
  <c r="L172" i="13"/>
  <c r="P172" i="13"/>
  <c r="S28" i="13"/>
  <c r="P136" i="13"/>
  <c r="O136" i="13"/>
  <c r="L136" i="13"/>
  <c r="O196" i="13"/>
  <c r="L196" i="13"/>
  <c r="P196" i="13" s="1"/>
  <c r="L148" i="13"/>
  <c r="P148" i="13" s="1"/>
  <c r="M52" i="13"/>
  <c r="O52" i="13" s="1"/>
  <c r="M64" i="13"/>
  <c r="O64" i="13" s="1"/>
  <c r="M256" i="3"/>
  <c r="M244" i="3"/>
  <c r="M232" i="3"/>
  <c r="M220" i="3"/>
  <c r="M208" i="3"/>
  <c r="M196" i="3"/>
  <c r="M184" i="3"/>
  <c r="M172" i="3"/>
  <c r="M160" i="3"/>
  <c r="M148" i="3"/>
  <c r="M136" i="3"/>
  <c r="M124" i="3"/>
  <c r="M112" i="3"/>
  <c r="M100" i="3"/>
  <c r="M88" i="3"/>
  <c r="M76" i="3"/>
  <c r="M64" i="3"/>
  <c r="M52" i="3"/>
  <c r="M40" i="3"/>
  <c r="M256" i="4"/>
  <c r="M244" i="4"/>
  <c r="M232" i="4"/>
  <c r="M220" i="4"/>
  <c r="M208" i="4"/>
  <c r="M196" i="4"/>
  <c r="M184" i="4"/>
  <c r="M172" i="4"/>
  <c r="M160" i="4"/>
  <c r="M148" i="4"/>
  <c r="M136" i="4"/>
  <c r="M124" i="4"/>
  <c r="M112" i="4"/>
  <c r="M100" i="4"/>
  <c r="M88" i="4"/>
  <c r="M76" i="4"/>
  <c r="M64" i="4"/>
  <c r="M52" i="4"/>
  <c r="M40" i="4"/>
  <c r="M28" i="4"/>
  <c r="M256" i="5"/>
  <c r="M244" i="5"/>
  <c r="M232" i="5"/>
  <c r="M220" i="5"/>
  <c r="M208" i="5"/>
  <c r="M196" i="5"/>
  <c r="M184" i="5"/>
  <c r="M172" i="5"/>
  <c r="M160" i="5"/>
  <c r="M148" i="5"/>
  <c r="M136" i="5"/>
  <c r="M124" i="5"/>
  <c r="M112" i="5"/>
  <c r="M100" i="5"/>
  <c r="M88" i="5"/>
  <c r="M76" i="5"/>
  <c r="M64" i="5"/>
  <c r="M52" i="5"/>
  <c r="M40" i="5"/>
  <c r="M28" i="5"/>
  <c r="M256" i="6"/>
  <c r="M244" i="6"/>
  <c r="M232" i="6"/>
  <c r="M220" i="6"/>
  <c r="M208" i="6"/>
  <c r="M196" i="6"/>
  <c r="M184" i="6"/>
  <c r="M172" i="6"/>
  <c r="M160" i="6"/>
  <c r="M148" i="6"/>
  <c r="M136" i="6"/>
  <c r="M124" i="6"/>
  <c r="M112" i="6"/>
  <c r="M100" i="6"/>
  <c r="M88" i="6"/>
  <c r="M76" i="6"/>
  <c r="M64" i="6"/>
  <c r="M52" i="6"/>
  <c r="M40" i="6"/>
  <c r="K124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K232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K208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K172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K160" i="6" s="1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K76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K52" i="5"/>
  <c r="K208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D264" i="5"/>
  <c r="E263" i="5"/>
  <c r="D263" i="5"/>
  <c r="E262" i="5"/>
  <c r="D262" i="5"/>
  <c r="E261" i="5"/>
  <c r="D261" i="5"/>
  <c r="E260" i="5"/>
  <c r="D260" i="5"/>
  <c r="E259" i="5"/>
  <c r="D259" i="5"/>
  <c r="E258" i="5"/>
  <c r="D258" i="5"/>
  <c r="E257" i="5"/>
  <c r="D257" i="5"/>
  <c r="E256" i="5"/>
  <c r="D256" i="5"/>
  <c r="E255" i="5"/>
  <c r="D255" i="5"/>
  <c r="E254" i="5"/>
  <c r="D254" i="5"/>
  <c r="E253" i="5"/>
  <c r="D253" i="5"/>
  <c r="E252" i="5"/>
  <c r="D252" i="5"/>
  <c r="E251" i="5"/>
  <c r="D251" i="5"/>
  <c r="E250" i="5"/>
  <c r="D250" i="5"/>
  <c r="E249" i="5"/>
  <c r="D249" i="5"/>
  <c r="E248" i="5"/>
  <c r="D248" i="5"/>
  <c r="E247" i="5"/>
  <c r="D247" i="5"/>
  <c r="E246" i="5"/>
  <c r="D246" i="5"/>
  <c r="E245" i="5"/>
  <c r="D245" i="5"/>
  <c r="E244" i="5"/>
  <c r="D244" i="5"/>
  <c r="K244" i="5" s="1"/>
  <c r="E243" i="5"/>
  <c r="D243" i="5"/>
  <c r="E242" i="5"/>
  <c r="D242" i="5"/>
  <c r="E241" i="5"/>
  <c r="D241" i="5"/>
  <c r="E240" i="5"/>
  <c r="D240" i="5"/>
  <c r="E239" i="5"/>
  <c r="D239" i="5"/>
  <c r="E238" i="5"/>
  <c r="D238" i="5"/>
  <c r="E237" i="5"/>
  <c r="D237" i="5"/>
  <c r="E236" i="5"/>
  <c r="D236" i="5"/>
  <c r="E235" i="5"/>
  <c r="D235" i="5"/>
  <c r="E234" i="5"/>
  <c r="D234" i="5"/>
  <c r="E233" i="5"/>
  <c r="D233" i="5"/>
  <c r="K232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K220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K124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K64" i="5" s="1"/>
  <c r="L64" i="5" s="1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K208" i="4"/>
  <c r="K232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K88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K64" i="4"/>
  <c r="L64" i="4" s="1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K52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D2" i="1"/>
  <c r="E17" i="3"/>
  <c r="E18" i="3"/>
  <c r="E265" i="3"/>
  <c r="E266" i="3"/>
  <c r="E267" i="3"/>
  <c r="E268" i="3"/>
  <c r="E269" i="3"/>
  <c r="E270" i="3"/>
  <c r="E271" i="3"/>
  <c r="E272" i="3"/>
  <c r="E273" i="3"/>
  <c r="E274" i="3"/>
  <c r="E275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D18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H3" i="1"/>
  <c r="B7" i="1"/>
  <c r="H2" i="1"/>
  <c r="S52" i="14" l="1"/>
  <c r="S52" i="13"/>
  <c r="P208" i="14"/>
  <c r="O208" i="14"/>
  <c r="S208" i="14" s="1"/>
  <c r="S124" i="14"/>
  <c r="L100" i="14"/>
  <c r="P100" i="14" s="1"/>
  <c r="S100" i="14" s="1"/>
  <c r="L184" i="14"/>
  <c r="P184" i="14" s="1"/>
  <c r="O184" i="14"/>
  <c r="O232" i="14"/>
  <c r="L232" i="14"/>
  <c r="P232" i="14" s="1"/>
  <c r="O196" i="14"/>
  <c r="L196" i="14"/>
  <c r="P196" i="14" s="1"/>
  <c r="L64" i="14"/>
  <c r="P64" i="14" s="1"/>
  <c r="O64" i="14"/>
  <c r="L28" i="14"/>
  <c r="P28" i="14" s="1"/>
  <c r="O28" i="14"/>
  <c r="P220" i="14"/>
  <c r="O220" i="14"/>
  <c r="S220" i="14" s="1"/>
  <c r="L220" i="14"/>
  <c r="S136" i="14"/>
  <c r="S160" i="14"/>
  <c r="L112" i="14"/>
  <c r="P112" i="14" s="1"/>
  <c r="O112" i="14"/>
  <c r="O148" i="14"/>
  <c r="L148" i="14"/>
  <c r="P148" i="14" s="1"/>
  <c r="O172" i="14"/>
  <c r="L172" i="14"/>
  <c r="P172" i="14"/>
  <c r="S136" i="13"/>
  <c r="S112" i="13"/>
  <c r="S196" i="13"/>
  <c r="O208" i="13"/>
  <c r="L208" i="13"/>
  <c r="P208" i="13" s="1"/>
  <c r="S232" i="13"/>
  <c r="S124" i="13"/>
  <c r="S148" i="13"/>
  <c r="S40" i="13"/>
  <c r="S64" i="13"/>
  <c r="S172" i="13"/>
  <c r="O52" i="4"/>
  <c r="O112" i="3"/>
  <c r="O88" i="3"/>
  <c r="S88" i="3" s="1"/>
  <c r="K184" i="6"/>
  <c r="O184" i="6"/>
  <c r="L184" i="6"/>
  <c r="P184" i="6" s="1"/>
  <c r="O208" i="6"/>
  <c r="K100" i="6"/>
  <c r="L100" i="6" s="1"/>
  <c r="P100" i="6" s="1"/>
  <c r="K52" i="6"/>
  <c r="P52" i="6" s="1"/>
  <c r="K220" i="6"/>
  <c r="L220" i="6" s="1"/>
  <c r="P172" i="6"/>
  <c r="O172" i="6"/>
  <c r="L172" i="6"/>
  <c r="O232" i="6"/>
  <c r="L232" i="6"/>
  <c r="P232" i="6" s="1"/>
  <c r="K88" i="6"/>
  <c r="L124" i="6"/>
  <c r="P124" i="6" s="1"/>
  <c r="O124" i="6"/>
  <c r="S124" i="6" s="1"/>
  <c r="K148" i="6"/>
  <c r="K40" i="6"/>
  <c r="L160" i="6"/>
  <c r="P160" i="6" s="1"/>
  <c r="O160" i="6"/>
  <c r="K244" i="6"/>
  <c r="K136" i="6"/>
  <c r="L76" i="6"/>
  <c r="P76" i="6" s="1"/>
  <c r="O76" i="6"/>
  <c r="K112" i="6"/>
  <c r="L208" i="6"/>
  <c r="P208" i="6" s="1"/>
  <c r="K256" i="6"/>
  <c r="K64" i="6"/>
  <c r="K196" i="6"/>
  <c r="P52" i="5"/>
  <c r="O52" i="5"/>
  <c r="L52" i="5"/>
  <c r="K136" i="5"/>
  <c r="L136" i="5" s="1"/>
  <c r="K100" i="5"/>
  <c r="L100" i="5" s="1"/>
  <c r="P100" i="5" s="1"/>
  <c r="L124" i="5"/>
  <c r="P124" i="5" s="1"/>
  <c r="O124" i="5"/>
  <c r="O220" i="5"/>
  <c r="L220" i="5"/>
  <c r="P220" i="5"/>
  <c r="O208" i="5"/>
  <c r="L208" i="5"/>
  <c r="P208" i="5" s="1"/>
  <c r="K88" i="5"/>
  <c r="K40" i="5"/>
  <c r="O232" i="5"/>
  <c r="L232" i="5"/>
  <c r="P232" i="5" s="1"/>
  <c r="K148" i="5"/>
  <c r="K172" i="5"/>
  <c r="K28" i="5"/>
  <c r="K112" i="5"/>
  <c r="O244" i="5"/>
  <c r="L244" i="5"/>
  <c r="P244" i="5" s="1"/>
  <c r="P64" i="5"/>
  <c r="O64" i="5"/>
  <c r="S64" i="5" s="1"/>
  <c r="K196" i="5"/>
  <c r="K256" i="5"/>
  <c r="K184" i="5"/>
  <c r="K76" i="5"/>
  <c r="K100" i="4"/>
  <c r="L100" i="4" s="1"/>
  <c r="P100" i="4" s="1"/>
  <c r="K244" i="4"/>
  <c r="L52" i="4"/>
  <c r="P52" i="4"/>
  <c r="K76" i="4"/>
  <c r="L76" i="4" s="1"/>
  <c r="P76" i="4" s="1"/>
  <c r="K184" i="4"/>
  <c r="L184" i="4" s="1"/>
  <c r="P184" i="4" s="1"/>
  <c r="P64" i="4"/>
  <c r="O64" i="4"/>
  <c r="S64" i="4" s="1"/>
  <c r="O232" i="4"/>
  <c r="L232" i="4"/>
  <c r="P232" i="4" s="1"/>
  <c r="K124" i="4"/>
  <c r="K28" i="4"/>
  <c r="L28" i="4" s="1"/>
  <c r="P208" i="4"/>
  <c r="O208" i="4"/>
  <c r="S208" i="4" s="1"/>
  <c r="P88" i="4"/>
  <c r="O88" i="4"/>
  <c r="L88" i="4"/>
  <c r="K160" i="4"/>
  <c r="K220" i="4"/>
  <c r="K40" i="4"/>
  <c r="K112" i="4"/>
  <c r="K148" i="4"/>
  <c r="K196" i="4"/>
  <c r="K172" i="4"/>
  <c r="K256" i="4"/>
  <c r="K136" i="4"/>
  <c r="K244" i="3"/>
  <c r="O244" i="3" s="1"/>
  <c r="K160" i="3"/>
  <c r="O160" i="3" s="1"/>
  <c r="K76" i="3"/>
  <c r="O76" i="3" s="1"/>
  <c r="K184" i="3"/>
  <c r="O184" i="3" s="1"/>
  <c r="K232" i="3"/>
  <c r="O232" i="3" s="1"/>
  <c r="K64" i="3"/>
  <c r="O64" i="3" s="1"/>
  <c r="K112" i="3"/>
  <c r="K256" i="3"/>
  <c r="O256" i="3" s="1"/>
  <c r="K88" i="3"/>
  <c r="P88" i="3" s="1"/>
  <c r="K100" i="3"/>
  <c r="O100" i="3" s="1"/>
  <c r="K220" i="3"/>
  <c r="P220" i="3" s="1"/>
  <c r="K136" i="3"/>
  <c r="P136" i="3" s="1"/>
  <c r="K52" i="3"/>
  <c r="P52" i="3" s="1"/>
  <c r="K148" i="3"/>
  <c r="O148" i="3" s="1"/>
  <c r="K196" i="3"/>
  <c r="O196" i="3" s="1"/>
  <c r="K172" i="3"/>
  <c r="P172" i="3" s="1"/>
  <c r="K28" i="3"/>
  <c r="K208" i="3"/>
  <c r="O208" i="3" s="1"/>
  <c r="K124" i="3"/>
  <c r="O124" i="3" s="1"/>
  <c r="K40" i="3"/>
  <c r="O40" i="3" s="1"/>
  <c r="C2" i="1"/>
  <c r="B2" i="1"/>
  <c r="C3" i="1"/>
  <c r="D3" i="1" s="1"/>
  <c r="B3" i="1"/>
  <c r="S52" i="5" l="1"/>
  <c r="S232" i="6"/>
  <c r="S172" i="6"/>
  <c r="S64" i="14"/>
  <c r="S112" i="14"/>
  <c r="S28" i="14"/>
  <c r="S196" i="14"/>
  <c r="S184" i="14"/>
  <c r="S232" i="14"/>
  <c r="S148" i="14"/>
  <c r="S172" i="14"/>
  <c r="S208" i="13"/>
  <c r="S208" i="6"/>
  <c r="S184" i="6"/>
  <c r="S76" i="6"/>
  <c r="S160" i="6"/>
  <c r="S208" i="5"/>
  <c r="S220" i="5"/>
  <c r="S232" i="5"/>
  <c r="O100" i="5"/>
  <c r="S100" i="5" s="1"/>
  <c r="S124" i="5"/>
  <c r="S88" i="4"/>
  <c r="O100" i="4"/>
  <c r="S100" i="4" s="1"/>
  <c r="O184" i="4"/>
  <c r="S184" i="4" s="1"/>
  <c r="S232" i="4"/>
  <c r="O76" i="4"/>
  <c r="S76" i="4" s="1"/>
  <c r="S52" i="4"/>
  <c r="O220" i="3"/>
  <c r="S220" i="3" s="1"/>
  <c r="O172" i="3"/>
  <c r="S172" i="3" s="1"/>
  <c r="O136" i="3"/>
  <c r="S136" i="3" s="1"/>
  <c r="O52" i="3"/>
  <c r="S52" i="3" s="1"/>
  <c r="L28" i="3"/>
  <c r="N28" i="3" s="1"/>
  <c r="P28" i="3" s="1"/>
  <c r="L52" i="6"/>
  <c r="O220" i="6"/>
  <c r="P220" i="6"/>
  <c r="O52" i="6"/>
  <c r="S52" i="6" s="1"/>
  <c r="O100" i="6"/>
  <c r="S100" i="6" s="1"/>
  <c r="O148" i="6"/>
  <c r="L148" i="6"/>
  <c r="P148" i="6" s="1"/>
  <c r="O40" i="6"/>
  <c r="L40" i="6"/>
  <c r="P40" i="6" s="1"/>
  <c r="L136" i="6"/>
  <c r="P136" i="6"/>
  <c r="O136" i="6"/>
  <c r="P88" i="6"/>
  <c r="O88" i="6"/>
  <c r="S88" i="6" s="1"/>
  <c r="L88" i="6"/>
  <c r="O112" i="6"/>
  <c r="L112" i="6"/>
  <c r="P112" i="6" s="1"/>
  <c r="L244" i="6"/>
  <c r="P244" i="6" s="1"/>
  <c r="O244" i="6"/>
  <c r="O256" i="6"/>
  <c r="L256" i="6"/>
  <c r="P256" i="6" s="1"/>
  <c r="O64" i="6"/>
  <c r="L64" i="6"/>
  <c r="P64" i="6" s="1"/>
  <c r="K28" i="6"/>
  <c r="O196" i="6"/>
  <c r="L196" i="6"/>
  <c r="P196" i="6" s="1"/>
  <c r="O136" i="5"/>
  <c r="P136" i="5"/>
  <c r="L40" i="5"/>
  <c r="P40" i="5" s="1"/>
  <c r="O40" i="5"/>
  <c r="S40" i="5" s="1"/>
  <c r="L28" i="5"/>
  <c r="P28" i="5" s="1"/>
  <c r="O28" i="5"/>
  <c r="S28" i="5" s="1"/>
  <c r="O184" i="5"/>
  <c r="L184" i="5"/>
  <c r="P184" i="5" s="1"/>
  <c r="O196" i="5"/>
  <c r="L196" i="5"/>
  <c r="P196" i="5" s="1"/>
  <c r="P172" i="5"/>
  <c r="O172" i="5"/>
  <c r="S172" i="5" s="1"/>
  <c r="L172" i="5"/>
  <c r="K160" i="5"/>
  <c r="O148" i="5"/>
  <c r="L148" i="5"/>
  <c r="P148" i="5" s="1"/>
  <c r="O76" i="5"/>
  <c r="L76" i="5"/>
  <c r="P76" i="5" s="1"/>
  <c r="O256" i="5"/>
  <c r="L256" i="5"/>
  <c r="P256" i="5" s="1"/>
  <c r="P88" i="5"/>
  <c r="O88" i="5"/>
  <c r="S88" i="5" s="1"/>
  <c r="L88" i="5"/>
  <c r="L112" i="5"/>
  <c r="P112" i="5" s="1"/>
  <c r="O112" i="5"/>
  <c r="S112" i="5" s="1"/>
  <c r="O244" i="4"/>
  <c r="L244" i="4"/>
  <c r="P244" i="4" s="1"/>
  <c r="P172" i="4"/>
  <c r="O172" i="4"/>
  <c r="S172" i="4" s="1"/>
  <c r="L172" i="4"/>
  <c r="O40" i="4"/>
  <c r="L40" i="4"/>
  <c r="P40" i="4" s="1"/>
  <c r="O124" i="4"/>
  <c r="L124" i="4"/>
  <c r="P124" i="4" s="1"/>
  <c r="O112" i="4"/>
  <c r="L112" i="4"/>
  <c r="P112" i="4"/>
  <c r="O196" i="4"/>
  <c r="L196" i="4"/>
  <c r="P196" i="4" s="1"/>
  <c r="S196" i="4" s="1"/>
  <c r="O256" i="4"/>
  <c r="L256" i="4"/>
  <c r="P256" i="4" s="1"/>
  <c r="L160" i="4"/>
  <c r="P160" i="4" s="1"/>
  <c r="O160" i="4"/>
  <c r="O220" i="4"/>
  <c r="L220" i="4"/>
  <c r="P220" i="4"/>
  <c r="P28" i="4"/>
  <c r="O28" i="4"/>
  <c r="L136" i="4"/>
  <c r="P136" i="4"/>
  <c r="O136" i="4"/>
  <c r="L148" i="4"/>
  <c r="P148" i="4" s="1"/>
  <c r="O148" i="4"/>
  <c r="L256" i="3"/>
  <c r="N256" i="3" s="1"/>
  <c r="P256" i="3" s="1"/>
  <c r="L52" i="3"/>
  <c r="L220" i="3"/>
  <c r="L76" i="3"/>
  <c r="N76" i="3" s="1"/>
  <c r="P76" i="3" s="1"/>
  <c r="S76" i="3" s="1"/>
  <c r="L184" i="3"/>
  <c r="N184" i="3" s="1"/>
  <c r="P184" i="3" s="1"/>
  <c r="S184" i="3" s="1"/>
  <c r="L112" i="3"/>
  <c r="N112" i="3" s="1"/>
  <c r="P112" i="3" s="1"/>
  <c r="S112" i="3" s="1"/>
  <c r="L148" i="3"/>
  <c r="N148" i="3" s="1"/>
  <c r="P148" i="3" s="1"/>
  <c r="S148" i="3" s="1"/>
  <c r="L160" i="3"/>
  <c r="N160" i="3" s="1"/>
  <c r="P160" i="3" s="1"/>
  <c r="S160" i="3" s="1"/>
  <c r="L172" i="3"/>
  <c r="L100" i="3"/>
  <c r="N100" i="3" s="1"/>
  <c r="P100" i="3" s="1"/>
  <c r="S100" i="3" s="1"/>
  <c r="L64" i="3"/>
  <c r="N64" i="3" s="1"/>
  <c r="P64" i="3" s="1"/>
  <c r="S64" i="3" s="1"/>
  <c r="L40" i="3"/>
  <c r="N40" i="3" s="1"/>
  <c r="P40" i="3" s="1"/>
  <c r="S40" i="3" s="1"/>
  <c r="L196" i="3"/>
  <c r="N196" i="3" s="1"/>
  <c r="P196" i="3" s="1"/>
  <c r="S196" i="3" s="1"/>
  <c r="L88" i="3"/>
  <c r="L208" i="3"/>
  <c r="N208" i="3" s="1"/>
  <c r="P208" i="3" s="1"/>
  <c r="S208" i="3" s="1"/>
  <c r="L244" i="3"/>
  <c r="N244" i="3" s="1"/>
  <c r="P244" i="3" s="1"/>
  <c r="L124" i="3"/>
  <c r="N124" i="3" s="1"/>
  <c r="P124" i="3" s="1"/>
  <c r="S124" i="3" s="1"/>
  <c r="L136" i="3"/>
  <c r="L232" i="3"/>
  <c r="N232" i="3" s="1"/>
  <c r="P232" i="3" s="1"/>
  <c r="S232" i="3" s="1"/>
  <c r="E2" i="1"/>
  <c r="E3" i="1"/>
  <c r="S136" i="6" l="1"/>
  <c r="S28" i="4"/>
  <c r="S148" i="4"/>
  <c r="S136" i="4"/>
  <c r="S136" i="5"/>
  <c r="S76" i="5"/>
  <c r="S112" i="6"/>
  <c r="S40" i="6"/>
  <c r="S148" i="6"/>
  <c r="S196" i="6"/>
  <c r="S220" i="6"/>
  <c r="S64" i="6"/>
  <c r="S148" i="5"/>
  <c r="S196" i="5"/>
  <c r="S184" i="5"/>
  <c r="S160" i="4"/>
  <c r="S40" i="4"/>
  <c r="S112" i="4"/>
  <c r="S124" i="4"/>
  <c r="S220" i="4"/>
  <c r="S28" i="3"/>
  <c r="L28" i="6"/>
  <c r="P28" i="6" s="1"/>
  <c r="O28" i="6"/>
  <c r="L160" i="5"/>
  <c r="P160" i="5" s="1"/>
  <c r="O160" i="5"/>
  <c r="S160" i="5" l="1"/>
  <c r="S28" i="6"/>
</calcChain>
</file>

<file path=xl/sharedStrings.xml><?xml version="1.0" encoding="utf-8"?>
<sst xmlns="http://schemas.openxmlformats.org/spreadsheetml/2006/main" count="2496" uniqueCount="125">
  <si>
    <t>OKI</t>
  </si>
  <si>
    <t>Belka</t>
  </si>
  <si>
    <t xml:space="preserve">Podatek </t>
  </si>
  <si>
    <t>Zysk netto</t>
  </si>
  <si>
    <t xml:space="preserve">Wartość wstępna </t>
  </si>
  <si>
    <t xml:space="preserve">Podatek Belka </t>
  </si>
  <si>
    <t xml:space="preserve">Podatek OKI </t>
  </si>
  <si>
    <t>Stopa ref. NBP 2025</t>
  </si>
  <si>
    <t>Stopy zwrotu</t>
  </si>
  <si>
    <t>WIG</t>
  </si>
  <si>
    <t xml:space="preserve">portfel inwestycyjny </t>
  </si>
  <si>
    <t xml:space="preserve">akcje </t>
  </si>
  <si>
    <t>depozyty</t>
  </si>
  <si>
    <t>Średnie oprocentowanie nowo zakladanych depozytów za 2025 r. (NBP)</t>
  </si>
  <si>
    <t>Kolorem niebieskim oznaczono dane skorygowane</t>
  </si>
  <si>
    <t>* W przypadku kredytów i innych należności termin oznacza okres przeszacowania stopy procentowej</t>
  </si>
  <si>
    <t>b.d. - brak danych</t>
  </si>
  <si>
    <t>np. - kategoria niepublikowana ze względu na podleganie tajemnicy statystycznej</t>
  </si>
  <si>
    <t>M_7;AC:A,BCS:2230,BI:A2A,BRS:S1,CT:PLN,DTM:R,F:M,IBC:N,MO:A,RA:PL</t>
  </si>
  <si>
    <t>ogółem</t>
  </si>
  <si>
    <t>M_7;AC:A,BCS:2240,BI:A2A,BRS:S1,CT:PLN,DTM:R,F:M,IBC:N,MO:A,RA:PL</t>
  </si>
  <si>
    <t>b.d.</t>
  </si>
  <si>
    <t>M_7;AC:1,BCS:2240,BI:A2A,BRS:S1,CT:PLN,DTM:R,F:M,IBC:N,MO:Y,RA:PL</t>
  </si>
  <si>
    <t>stopa zmienna i stała do 1 roku o terminie pierwotnym powyżej 1 roku</t>
  </si>
  <si>
    <t>M_7;AC:1,BCS:2240,BI:A2A,BRS:S1,CT:PLN,DTM:R,F:M,IBC:N,MO:A,RA:PL</t>
  </si>
  <si>
    <t>np.</t>
  </si>
  <si>
    <t>-</t>
  </si>
  <si>
    <t>M_7;AC:1,BCS:2240,BI:A2A,BRS:S1,CT:PLN,DTM:R,F:M,IBC:N,MO:K,RA:PL</t>
  </si>
  <si>
    <t>stopa stała powyżej 1 roku</t>
  </si>
  <si>
    <t>M_7;AC:1,BCS:2240,BI:A2A,BRS:S1,CT:PLN,DTM:R,F:M,IBC:N,MO:Q,RA:PL</t>
  </si>
  <si>
    <t>stopa stała od 3 miesięcy do 1 roku włącznie</t>
  </si>
  <si>
    <t>M_7;AC:1,BCS:2240,BI:A2A,BRS:S1,CT:PLN,DTM:R,F:M,IBC:N,MO:D,RA:PL</t>
  </si>
  <si>
    <t>stopa zmienna i stała do 3 miesięcy włącznie</t>
  </si>
  <si>
    <t>Kredyty o wysokości powyżej 4 milionów zł</t>
  </si>
  <si>
    <t>M_7;AC:3,BCS:2240,BI:A2A,BRS:S1,CT:PLN,DTM:R,F:M,IBC:N,MO:Y,RA:PL</t>
  </si>
  <si>
    <t>M_7;AC:3,BCS:2240,BI:A2A,BRS:S1,CT:PLN,DTM:R,F:M,IBC:N,MO:A,RA:PL</t>
  </si>
  <si>
    <t>M_7;AC:3,BCS:2240,BI:A2A,BRS:S1,CT:PLN,DTM:R,F:M,IBC:N,MO:K,RA:PL</t>
  </si>
  <si>
    <t>M_7;AC:3,BCS:2240,BI:A2A,BRS:S1,CT:PLN,DTM:R,F:M,IBC:N,MO:Q,RA:PL</t>
  </si>
  <si>
    <t>M_7;AC:3,BCS:2240,BI:A2A,BRS:S1,CT:PLN,DTM:R,F:M,IBC:N,MO:D,RA:PL</t>
  </si>
  <si>
    <t>Kredyty o wysokości od 1 do 4 milionów zł włącznie</t>
  </si>
  <si>
    <t>M_7;AC:2,BCS:2240,BI:A2A,BRS:S1,CT:PLN,DTM:R,F:M,IBC:N,MO:Y,RA:PL</t>
  </si>
  <si>
    <t>M_7;AC:2,BCS:2240,BI:A2A,BRS:S1,CT:PLN,DTM:R,F:M,IBC:N,MO:A,RA:PL</t>
  </si>
  <si>
    <t>M_7;AC:2,BCS:2240,BI:A2A,BRS:S1,CT:PLN,DTM:R,F:M,IBC:N,MO:K,RA:PL</t>
  </si>
  <si>
    <t>M_7;AC:2,BCS:2240,BI:A2A,BRS:S1,CT:PLN,DTM:R,F:M,IBC:N,MO:Q,RA:PL</t>
  </si>
  <si>
    <t>M_7;AC:2,BCS:2240,BI:A2A,BRS:S1,CT:PLN,DTM:R,F:M,IBC:N,MO:D,RA:PL</t>
  </si>
  <si>
    <t>Kredyty o wysokości do 1 miliona zł włącznie</t>
  </si>
  <si>
    <t>Przedsiębiorstwa niefinansowe</t>
  </si>
  <si>
    <t>M_7;AC:A,BCS:2250,BI:A2A,BRS:S1,CT:PLN,DTM:R,F:M,IBC:N,MO:A,RA:PL</t>
  </si>
  <si>
    <t>M_7;AC:A,BCS:P15,BI:A2D,BRS:S1,CT:PLN,DTM:R,F:M,IBC:N,MO:A,RA:PL</t>
  </si>
  <si>
    <t>M_7;AC:A,BCS:P15,BI:A2D,BRS:S1,CT:PLN,DTM:R,F:M,IBC:N,MO:K,RA:PL</t>
  </si>
  <si>
    <t>M_7;AC:A,BCS:P15,BI:A2D,BRS:S1,CT:PLN,DTM:R,F:M,IBC:N,MO:Q,RA:PL</t>
  </si>
  <si>
    <t>M_7;AC:A,BCS:P15,BI:A2D,BRS:S1,CT:PLN,DTM:R,F:M,IBC:N,MO:D,RA:PL</t>
  </si>
  <si>
    <t>Pozostałe kredyty i inne należności bez przedsiębiorców indywidualnych</t>
  </si>
  <si>
    <t>M_7;AC:A,BCS:2253,BI:A2D,BRS:S1,CT:PLN,DTM:R,F:M,IBC:N,MO:A,RA:PL</t>
  </si>
  <si>
    <t>M_7;AC:A,BCS:2253,BI:A2D,BRS:S1,CT:PLN,DTM:R,F:M,IBC:N,MO:K,RA:PL</t>
  </si>
  <si>
    <t>M_7;AC:A,BCS:2253,BI:A2D,BRS:S1,CT:PLN,DTM:R,F:M,IBC:N,MO:Q,RA:PL</t>
  </si>
  <si>
    <t>M_7;AC:A,BCS:2253,BI:A2D,BRS:S1,CT:PLN,DTM:R,F:M,IBC:N,MO:D,RA:PL</t>
  </si>
  <si>
    <t>Kredyty dla przedsiębiorców indywidualnych</t>
  </si>
  <si>
    <t>M_7;AC:A,BCS:2250,BI:A2C,BRS:S1,CT:PLN,DTM:C,F:M,IBC:N,MO:A,RA:PL</t>
  </si>
  <si>
    <t>rzeczywista stopa procentowa</t>
  </si>
  <si>
    <t>M_7;AC:A,BCS:2250,BI:A2C,BRS:S1,CT:PLN,DTM:R,F:M,IBC:N,MO:A,RA:PL</t>
  </si>
  <si>
    <t>M_7;AC:A,BCS:2250,BI:A2C,BRS:S1,CT:PLN,DTM:R,F:M,IBC:N,MO:K,RA:PL</t>
  </si>
  <si>
    <t>M_7;AC:A,BCS:2250,BI:A2C,BRS:S1,CT:PLN,DTM:R,F:M,IBC:N,MO:Q,RA:PL</t>
  </si>
  <si>
    <t>M_7;AC:A,BCS:2250,BI:A2C,BRS:S1,CT:PLN,DTM:R,F:M,IBC:N,MO:D,RA:PL</t>
  </si>
  <si>
    <t>Kredyty na nieruchomości mieszkaniowe</t>
  </si>
  <si>
    <t>M_7;AC:A,BCS:2250,BI:A2B,BRS:S1,CT:PLN,DTM:C,F:M,IBC:N,MO:A,RA:PL</t>
  </si>
  <si>
    <t>M_7;AC:A,BCS:2250,BI:A2B,BRS:S1,CT:PLN,DTM:R,F:M,IBC:N,MO:A,RA:PL</t>
  </si>
  <si>
    <t>M_7;AC:A,BCS:2250,BI:A2B,BRS:S1,CT:PLN,DTM:R,F:M,IBC:N,MO:J,RA:PL</t>
  </si>
  <si>
    <t>stopa stała powyżej 5 lat</t>
  </si>
  <si>
    <t>M_7;AC:A,BCS:2250,BI:A2B,BRS:S1,CT:PLN,DTM:R,F:M,IBC:N,MO:I,RA:PL</t>
  </si>
  <si>
    <t>stopa stała od 1 roku do 5 lat włącznie</t>
  </si>
  <si>
    <t>M_7;AC:A,BCS:2250,BI:A2B,BRS:S1,CT:PLN,DTM:R,F:M,IBC:N,MO:Q,RA:PL</t>
  </si>
  <si>
    <t>M_7;AC:A,BCS:2250,BI:A2B,BRS:S1,CT:PLN,DTM:R,F:M,IBC:N,MO:D,RA:PL</t>
  </si>
  <si>
    <t>Kredyty na cele konsumpcyjne (bez kredytów o charakterze bieżącym)</t>
  </si>
  <si>
    <t>Gospodarstwa domowe i instytucje niekomercyjne działające na rzecz gospodarstw domowych</t>
  </si>
  <si>
    <t>Kredyty i inne należności w PLN</t>
  </si>
  <si>
    <t>M_7;AC:A,BCS:2230,BI:L22,BRS:S1,CT:PLN,DTM:R,F:M,IBC:N,MO:A,RA:PL</t>
  </si>
  <si>
    <t>M_7;AC:A,BCS:2240,BI:L22,BRS:S1,CT:PLN,DTM:R,F:M,IBC:N,MO:A,RA:PL</t>
  </si>
  <si>
    <t>M_7;AC:A,BCS:2240,BI:L22,BRS:S1,CT:PLN,DTM:R,F:M,IBC:N,MO:K,RA:PL</t>
  </si>
  <si>
    <t>powyżej 1 roku</t>
  </si>
  <si>
    <t>M_7;AC:A,BCS:2240,BI:L22,BRS:S1,CT:PLN,DTM:R,F:M,IBC:N,MO:T10,RA:PL</t>
  </si>
  <si>
    <t>powyżej 6 miesięcy do 1 roku włącznie</t>
  </si>
  <si>
    <t>M_7;AC:A,BCS:2240,BI:L22,BRS:S1,CT:PLN,DTM:R,F:M,IBC:N,MO:T08,RA:PL</t>
  </si>
  <si>
    <t>powyżej 3 miesięcy do 6 miesięcy włącznie</t>
  </si>
  <si>
    <t>M_7;AC:A,BCS:2240,BI:L22,BRS:S1,CT:PLN,DTM:R,F:M,IBC:N,MO:T07,RA:PL</t>
  </si>
  <si>
    <t>powyżej 1 miesiąca do 3 miesięcy włącznie</t>
  </si>
  <si>
    <t>M_7;AC:A,BCS:2240,BI:L22,BRS:S1,CT:PLN,DTM:R,F:M,IBC:N,MO:T06,RA:PL</t>
  </si>
  <si>
    <t>do 1 miesiąca włącznie</t>
  </si>
  <si>
    <t>Depozyty z terminem pierwotnym</t>
  </si>
  <si>
    <t>M_7;AC:A,BCS:2250,BI:L22,BRS:S1,CT:PLN,DTM:R,F:M,IBC:N,MO:A,RA:PL</t>
  </si>
  <si>
    <t>M_7;AC:A,BCS:2250,BI:L22,BRS:S1,CT:PLN,DTM:R,F:M,IBC:N,MO:K,RA:PL</t>
  </si>
  <si>
    <t>M_7;AC:A,BCS:2250,BI:L22,BRS:S1,CT:PLN,DTM:R,F:M,IBC:N,MO:T10,RA:PL</t>
  </si>
  <si>
    <t>M_7;AC:A,BCS:2250,BI:L22,BRS:S1,CT:PLN,DTM:R,F:M,IBC:N,MO:T08,RA:PL</t>
  </si>
  <si>
    <t>M_7;AC:A,BCS:2250,BI:L22,BRS:S1,CT:PLN,DTM:R,F:M,IBC:N,MO:T07,RA:PL</t>
  </si>
  <si>
    <t>M_7;AC:A,BCS:2250,BI:L22,BRS:S1,CT:PLN,DTM:R,F:M,IBC:N,MO:T06,RA:PL</t>
  </si>
  <si>
    <t>Depozyty i inne zobowiązania w PLN</t>
  </si>
  <si>
    <t>fakt</t>
  </si>
  <si>
    <t>nr</t>
  </si>
  <si>
    <t>Termin *</t>
  </si>
  <si>
    <t>Kategoria</t>
  </si>
  <si>
    <t>Sektor</t>
  </si>
  <si>
    <t xml:space="preserve">Tabela 2. Średnie oprocentowanie nowych i renegocjowanych umów złotowych </t>
  </si>
  <si>
    <t>System Podatkowy</t>
  </si>
  <si>
    <t xml:space="preserve">Zysk brutto </t>
  </si>
  <si>
    <t>Tabela stóp zwrotu indeksów - Notowania - Puls Biznesu</t>
  </si>
  <si>
    <t>Arkusz 2 OPN_PLN</t>
  </si>
  <si>
    <t>Poland, Equity Indices, Warsaw Stock Exchange, WIG Index, Close, PLN</t>
  </si>
  <si>
    <t>stopa zwrotu r/r</t>
  </si>
  <si>
    <t>zysk z depozytu</t>
  </si>
  <si>
    <t>średni wynik portfela</t>
  </si>
  <si>
    <t>oprocentowanie depozytu</t>
  </si>
  <si>
    <t xml:space="preserve">OKI </t>
  </si>
  <si>
    <t>zysk (akcje)</t>
  </si>
  <si>
    <t>zysk (depozyty)</t>
  </si>
  <si>
    <t>suma</t>
  </si>
  <si>
    <t>zysk z potfela (bez podatku)</t>
  </si>
  <si>
    <t>stopa referencyjna</t>
  </si>
  <si>
    <t>podatek (na podstawie października poprzedniego roku)</t>
  </si>
  <si>
    <t>Podatek majątkowy</t>
  </si>
  <si>
    <t xml:space="preserve">OKI (final) </t>
  </si>
  <si>
    <t>Belka (final)</t>
  </si>
  <si>
    <t xml:space="preserve">limit oszczędnościowy </t>
  </si>
  <si>
    <t xml:space="preserve">limit pozostały </t>
  </si>
  <si>
    <t>wynik (akcje)</t>
  </si>
  <si>
    <t>wynik (depozyty)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</si>
</sst>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zł&quot;;[Red]\-#,##0\ &quot;zł&quot;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\ &quot;zł&quot;_-;\-* #,##0\ &quot;zł&quot;_-;_-* &quot;-&quot;??\ &quot;zł&quot;_-;_-@_-"/>
    <numFmt numFmtId="165" formatCode="0.0%"/>
    <numFmt numFmtId="166" formatCode="[$-415]mmm\ yy;@"/>
    <numFmt numFmtId="167" formatCode="_-* #,##0_-;\-* #,##0_-;_-* &quot;-&quot;??_-;_-@_-"/>
    <numFmt numFmtId="168" formatCode="0.0000"/>
  </numFmts>
  <fonts count="14">
    <font>
      <sz val="11"/>
      <color theme="1"/>
      <name val="PKO Bank Polski Rg"/>
      <family val="2"/>
      <charset val="238"/>
    </font>
    <font>
      <sz val="11"/>
      <color theme="1"/>
      <name val="PKO Bank Polski Rg"/>
      <family val="2"/>
      <charset val="238"/>
    </font>
    <font>
      <sz val="10"/>
      <color rgb="FF000000"/>
      <name val="Arial CE"/>
      <family val="2"/>
      <charset val="238"/>
    </font>
    <font>
      <sz val="12"/>
      <color indexed="12"/>
      <name val="Times New Roman CE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 CE"/>
      <family val="2"/>
      <charset val="238"/>
    </font>
    <font>
      <sz val="10"/>
      <color theme="1"/>
      <name val="Times New Roman"/>
      <family val="2"/>
    </font>
    <font>
      <b/>
      <sz val="10"/>
      <color rgb="FF3F3F3F"/>
      <name val="Arial"/>
      <family val="2"/>
      <charset val="238"/>
    </font>
    <font>
      <sz val="8"/>
      <color theme="10"/>
      <name val="Arial CE"/>
      <family val="2"/>
      <charset val="238"/>
    </font>
    <font>
      <b/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4DC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/>
    <xf numFmtId="0" fontId="6" fillId="0" borderId="0"/>
    <xf numFmtId="0" fontId="7" fillId="2" borderId="1"/>
    <xf numFmtId="0" fontId="8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44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2" fillId="0" borderId="0" xfId="3"/>
    <xf numFmtId="0" fontId="0" fillId="0" borderId="0" xfId="4" applyFont="1"/>
    <xf numFmtId="0" fontId="4" fillId="0" borderId="0" xfId="4" applyFont="1"/>
    <xf numFmtId="0" fontId="4" fillId="3" borderId="0" xfId="5" applyFont="1" applyFill="1" applyProtection="1">
      <protection locked="0"/>
    </xf>
    <xf numFmtId="0" fontId="0" fillId="3" borderId="0" xfId="5" applyFont="1" applyFill="1"/>
    <xf numFmtId="0" fontId="5" fillId="0" borderId="0" xfId="6" applyFont="1"/>
    <xf numFmtId="0" fontId="5" fillId="0" borderId="0" xfId="4" applyFont="1"/>
    <xf numFmtId="165" fontId="4" fillId="4" borderId="2" xfId="3" applyNumberFormat="1" applyFont="1" applyFill="1" applyBorder="1" applyAlignment="1">
      <alignment horizontal="right" vertical="center" indent="1"/>
    </xf>
    <xf numFmtId="165" fontId="4" fillId="4" borderId="2" xfId="6" applyNumberFormat="1" applyFont="1" applyFill="1" applyBorder="1" applyAlignment="1">
      <alignment horizontal="right" vertical="center" indent="1"/>
    </xf>
    <xf numFmtId="165" fontId="4" fillId="4" borderId="2" xfId="7" applyNumberFormat="1" applyFont="1" applyFill="1" applyBorder="1" applyAlignment="1">
      <alignment horizontal="right" vertical="center" indent="1"/>
    </xf>
    <xf numFmtId="165" fontId="4" fillId="4" borderId="2" xfId="5" applyNumberFormat="1" applyFont="1" applyFill="1" applyBorder="1" applyAlignment="1">
      <alignment horizontal="right" vertical="center" indent="1"/>
    </xf>
    <xf numFmtId="165" fontId="4" fillId="4" borderId="2" xfId="8" applyNumberFormat="1" applyFont="1" applyFill="1" applyBorder="1" applyAlignment="1">
      <alignment horizontal="right" vertical="center" indent="1"/>
    </xf>
    <xf numFmtId="165" fontId="4" fillId="4" borderId="2" xfId="4" applyNumberFormat="1" applyFont="1" applyFill="1" applyBorder="1" applyAlignment="1">
      <alignment horizontal="right" vertical="center" indent="1"/>
    </xf>
    <xf numFmtId="0" fontId="4" fillId="5" borderId="0" xfId="4" applyFont="1" applyFill="1"/>
    <xf numFmtId="3" fontId="9" fillId="6" borderId="3" xfId="4" applyNumberFormat="1" applyFont="1" applyFill="1" applyBorder="1" applyAlignment="1">
      <alignment horizontal="center" vertical="center"/>
    </xf>
    <xf numFmtId="0" fontId="9" fillId="6" borderId="3" xfId="4" applyFont="1" applyFill="1" applyBorder="1" applyAlignment="1" applyProtection="1">
      <alignment horizontal="center" vertical="center"/>
      <protection locked="0"/>
    </xf>
    <xf numFmtId="165" fontId="4" fillId="7" borderId="2" xfId="3" applyNumberFormat="1" applyFont="1" applyFill="1" applyBorder="1" applyAlignment="1">
      <alignment horizontal="right" vertical="center" indent="1"/>
    </xf>
    <xf numFmtId="165" fontId="4" fillId="7" borderId="2" xfId="6" applyNumberFormat="1" applyFont="1" applyFill="1" applyBorder="1" applyAlignment="1">
      <alignment horizontal="right" vertical="center" indent="1"/>
    </xf>
    <xf numFmtId="165" fontId="4" fillId="7" borderId="2" xfId="7" applyNumberFormat="1" applyFont="1" applyFill="1" applyBorder="1" applyAlignment="1">
      <alignment horizontal="right" vertical="center" indent="1"/>
    </xf>
    <xf numFmtId="165" fontId="4" fillId="7" borderId="2" xfId="5" applyNumberFormat="1" applyFont="1" applyFill="1" applyBorder="1" applyAlignment="1">
      <alignment horizontal="right" vertical="center" indent="1"/>
    </xf>
    <xf numFmtId="165" fontId="4" fillId="7" borderId="2" xfId="8" applyNumberFormat="1" applyFont="1" applyFill="1" applyBorder="1" applyAlignment="1">
      <alignment horizontal="right" vertical="center" indent="1"/>
    </xf>
    <xf numFmtId="165" fontId="4" fillId="7" borderId="2" xfId="4" applyNumberFormat="1" applyFont="1" applyFill="1" applyBorder="1" applyAlignment="1">
      <alignment horizontal="right" vertical="center" indent="1"/>
    </xf>
    <xf numFmtId="0" fontId="9" fillId="6" borderId="3" xfId="4" applyFont="1" applyFill="1" applyBorder="1" applyAlignment="1" applyProtection="1">
      <alignment horizontal="center" vertical="center" wrapText="1"/>
      <protection locked="0"/>
    </xf>
    <xf numFmtId="0" fontId="9" fillId="6" borderId="3" xfId="4" applyFont="1" applyFill="1" applyBorder="1" applyAlignment="1">
      <alignment horizontal="center" vertical="center" wrapText="1"/>
    </xf>
    <xf numFmtId="17" fontId="10" fillId="8" borderId="4" xfId="3" applyNumberFormat="1" applyFont="1" applyFill="1" applyBorder="1" applyAlignment="1">
      <alignment horizontal="center" vertical="center"/>
    </xf>
    <xf numFmtId="17" fontId="10" fillId="8" borderId="4" xfId="6" applyNumberFormat="1" applyFont="1" applyFill="1" applyBorder="1" applyAlignment="1">
      <alignment horizontal="center" vertical="center"/>
    </xf>
    <xf numFmtId="17" fontId="10" fillId="8" borderId="4" xfId="7" applyNumberFormat="1" applyFont="1" applyFill="1" applyBorder="1" applyAlignment="1">
      <alignment horizontal="center" vertical="center"/>
    </xf>
    <xf numFmtId="17" fontId="10" fillId="8" borderId="4" xfId="5" applyNumberFormat="1" applyFont="1" applyFill="1" applyBorder="1" applyAlignment="1">
      <alignment horizontal="center" vertical="center"/>
    </xf>
    <xf numFmtId="17" fontId="10" fillId="8" borderId="4" xfId="8" applyNumberFormat="1" applyFont="1" applyFill="1" applyBorder="1" applyAlignment="1">
      <alignment horizontal="center" vertical="center"/>
    </xf>
    <xf numFmtId="17" fontId="10" fillId="8" borderId="4" xfId="4" applyNumberFormat="1" applyFont="1" applyFill="1" applyBorder="1" applyAlignment="1">
      <alignment horizontal="center" vertical="center"/>
    </xf>
    <xf numFmtId="0" fontId="11" fillId="5" borderId="0" xfId="4" applyFont="1" applyFill="1" applyAlignment="1">
      <alignment horizontal="center" vertical="center" wrapText="1"/>
    </xf>
    <xf numFmtId="166" fontId="9" fillId="6" borderId="3" xfId="4" applyNumberFormat="1" applyFont="1" applyFill="1" applyBorder="1" applyAlignment="1">
      <alignment horizontal="center" vertical="top" wrapText="1"/>
    </xf>
    <xf numFmtId="166" fontId="9" fillId="6" borderId="3" xfId="4" applyNumberFormat="1" applyFont="1" applyFill="1" applyBorder="1" applyAlignment="1">
      <alignment vertical="top" wrapText="1"/>
    </xf>
    <xf numFmtId="0" fontId="12" fillId="0" borderId="0" xfId="4" applyFont="1"/>
    <xf numFmtId="49" fontId="13" fillId="0" borderId="0" xfId="4" applyNumberFormat="1" applyFont="1" applyAlignment="1">
      <alignment vertical="center"/>
    </xf>
    <xf numFmtId="0" fontId="0" fillId="0" borderId="0" xfId="0" applyAlignment="1">
      <alignment wrapText="1"/>
    </xf>
    <xf numFmtId="43" fontId="0" fillId="0" borderId="0" xfId="2" applyFont="1"/>
    <xf numFmtId="43" fontId="0" fillId="9" borderId="0" xfId="2" applyFont="1" applyFill="1"/>
    <xf numFmtId="0" fontId="8" fillId="0" borderId="0" xfId="8"/>
    <xf numFmtId="14" fontId="0" fillId="0" borderId="0" xfId="0" applyNumberFormat="1"/>
    <xf numFmtId="6" fontId="0" fillId="0" borderId="0" xfId="0" applyNumberFormat="1"/>
    <xf numFmtId="44" fontId="0" fillId="0" borderId="0" xfId="9" applyFont="1"/>
    <xf numFmtId="14" fontId="0" fillId="10" borderId="0" xfId="0" applyNumberFormat="1" applyFill="1"/>
    <xf numFmtId="0" fontId="0" fillId="10" borderId="0" xfId="0" applyFill="1"/>
    <xf numFmtId="44" fontId="0" fillId="10" borderId="0" xfId="9" applyFont="1" applyFill="1"/>
    <xf numFmtId="44" fontId="0" fillId="10" borderId="0" xfId="0" applyNumberFormat="1" applyFill="1"/>
    <xf numFmtId="0" fontId="0" fillId="9" borderId="0" xfId="0" applyFill="1"/>
    <xf numFmtId="44" fontId="0" fillId="9" borderId="0" xfId="0" applyNumberFormat="1" applyFill="1"/>
    <xf numFmtId="167" fontId="0" fillId="0" borderId="0" xfId="2" applyNumberFormat="1" applyFont="1"/>
    <xf numFmtId="168" fontId="0" fillId="0" borderId="0" xfId="0" applyNumberFormat="1"/>
    <xf numFmtId="2" fontId="0" fillId="10" borderId="0" xfId="0" applyNumberFormat="1" applyFill="1"/>
    <xf numFmtId="2" fontId="0" fillId="0" borderId="0" xfId="0" applyNumberFormat="1"/>
    <xf numFmtId="1" fontId="0" fillId="0" borderId="0" xfId="0" applyNumberFormat="1"/>
    <xf numFmtId="0" fontId="9" fillId="6" borderId="3" xfId="4" applyFont="1" applyFill="1" applyBorder="1" applyAlignment="1">
      <alignment horizontal="center" vertical="center" wrapText="1"/>
    </xf>
    <xf numFmtId="0" fontId="0" fillId="6" borderId="3" xfId="4" applyFont="1" applyFill="1" applyBorder="1"/>
    <xf numFmtId="0" fontId="9" fillId="6" borderId="3" xfId="4" applyFont="1" applyFill="1" applyBorder="1" applyAlignment="1" applyProtection="1">
      <alignment horizontal="center" vertical="center"/>
      <protection locked="0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0">
    <cellStyle name="Dane wyjściowe 2" xfId="7" xr:uid="{04D798FF-5B9D-4FDE-85AC-8CE4A90E9A33}"/>
    <cellStyle name="Dziesiętny" xfId="2" builtinId="3"/>
    <cellStyle name="Hiperłącze" xfId="8" builtinId="8"/>
    <cellStyle name="Hiperłącze 3 2" xfId="4" xr:uid="{4C6E7CDC-318E-4992-AB1B-D2259288EC83}"/>
    <cellStyle name="Normal 4" xfId="6" xr:uid="{8F15E8B5-2ACF-4383-A02A-421F234875E0}"/>
    <cellStyle name="Normalny" xfId="0" builtinId="0"/>
    <cellStyle name="Normalny 2" xfId="3" xr:uid="{583B6645-9342-4E73-9C93-FEF04333779A}"/>
    <cellStyle name="Normalny 3" xfId="5" xr:uid="{D61070D0-4A9C-41BF-A356-5E3D5A44EE4C}"/>
    <cellStyle name="Procentowy" xfId="1" builtinId="5"/>
    <cellStyle name="Walutowy" xfId="9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19050</xdr:colOff>
          <xdr:row>1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19050</xdr:colOff>
          <xdr:row>1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19050</xdr:colOff>
          <xdr:row>1</xdr:row>
          <xdr:rowOff>114300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790575</xdr:colOff>
          <xdr:row>1</xdr:row>
          <xdr:rowOff>114300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790575</xdr:colOff>
          <xdr:row>1</xdr:row>
          <xdr:rowOff>104775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6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790575</xdr:colOff>
          <xdr:row>1</xdr:row>
          <xdr:rowOff>104775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7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towania.pb.pl/stocktable/stopy-zwrotu-indeks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8F2D-0C1A-4040-BA3B-6B7CC2873EE3}">
  <dimension ref="A1:H12"/>
  <sheetViews>
    <sheetView showGridLines="0" workbookViewId="0">
      <selection activeCell="H12" sqref="H12"/>
    </sheetView>
  </sheetViews>
  <sheetFormatPr defaultRowHeight="14.25"/>
  <cols>
    <col min="1" max="1" width="24.625" customWidth="1"/>
    <col min="2" max="2" width="15.875" bestFit="1" customWidth="1"/>
    <col min="3" max="5" width="13.125" bestFit="1" customWidth="1"/>
    <col min="7" max="7" width="17.375" bestFit="1" customWidth="1"/>
    <col min="8" max="8" width="11.125" bestFit="1" customWidth="1"/>
  </cols>
  <sheetData>
    <row r="1" spans="1:8">
      <c r="A1" t="s">
        <v>102</v>
      </c>
      <c r="B1" t="s">
        <v>4</v>
      </c>
      <c r="C1" t="s">
        <v>103</v>
      </c>
      <c r="D1" t="s">
        <v>2</v>
      </c>
      <c r="E1" t="s">
        <v>3</v>
      </c>
      <c r="G1" t="s">
        <v>10</v>
      </c>
      <c r="H1" s="43">
        <v>100000</v>
      </c>
    </row>
    <row r="2" spans="1:8">
      <c r="A2" t="s">
        <v>0</v>
      </c>
      <c r="B2" s="4">
        <f>H2+H3</f>
        <v>100000</v>
      </c>
      <c r="C2" s="1">
        <f>H2*B11+H3*B12</f>
        <v>21224</v>
      </c>
      <c r="D2" s="1">
        <f>MAX(0, (B2+C2)-100000)*$B$7 + MAX(0, H3-25000)*$B$7</f>
        <v>614.24720000000002</v>
      </c>
      <c r="E2" s="1">
        <f>C2-D2</f>
        <v>20609.752799999998</v>
      </c>
      <c r="G2" t="s">
        <v>11</v>
      </c>
      <c r="H2" s="42">
        <f>H1*0.4</f>
        <v>40000</v>
      </c>
    </row>
    <row r="3" spans="1:8">
      <c r="A3" t="s">
        <v>1</v>
      </c>
      <c r="B3" s="4">
        <f>H2+H3</f>
        <v>100000</v>
      </c>
      <c r="C3" s="1">
        <f>H2*B11+H3*B12</f>
        <v>21224</v>
      </c>
      <c r="D3" s="1">
        <f>C3*B6</f>
        <v>4032.56</v>
      </c>
      <c r="E3" s="1">
        <f>C3-D3</f>
        <v>17191.439999999999</v>
      </c>
      <c r="G3" t="s">
        <v>12</v>
      </c>
      <c r="H3" s="42">
        <f>0.6*H1</f>
        <v>60000</v>
      </c>
    </row>
    <row r="6" spans="1:8">
      <c r="A6" t="s">
        <v>5</v>
      </c>
      <c r="B6" s="2">
        <v>0.19</v>
      </c>
    </row>
    <row r="7" spans="1:8">
      <c r="A7" t="s">
        <v>6</v>
      </c>
      <c r="B7" s="5">
        <f>B6*B8</f>
        <v>1.0925000000000001E-2</v>
      </c>
      <c r="C7" s="5"/>
    </row>
    <row r="8" spans="1:8">
      <c r="A8" t="s">
        <v>7</v>
      </c>
      <c r="B8" s="3">
        <v>5.7500000000000002E-2</v>
      </c>
    </row>
    <row r="10" spans="1:8">
      <c r="A10" t="s">
        <v>8</v>
      </c>
    </row>
    <row r="11" spans="1:8">
      <c r="A11" t="s">
        <v>9</v>
      </c>
      <c r="B11" s="3">
        <v>0.4733</v>
      </c>
      <c r="C11" s="44" t="s">
        <v>104</v>
      </c>
    </row>
    <row r="12" spans="1:8" ht="42.75">
      <c r="A12" s="41" t="s">
        <v>13</v>
      </c>
      <c r="B12" s="5">
        <v>3.8199999999999998E-2</v>
      </c>
      <c r="C12" t="s">
        <v>105</v>
      </c>
    </row>
  </sheetData>
  <hyperlinks>
    <hyperlink ref="C11" r:id="rId1" display="https://notowania.pb.pl/stocktable/stopy-zwrotu-indeksy" xr:uid="{2987EE85-9258-4CEB-BEBD-594B6D0965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0845-0F9B-45D0-9E0C-341FCD7C08F2}">
  <dimension ref="A1:JE58"/>
  <sheetViews>
    <sheetView zoomScale="115" zoomScaleNormal="115" workbookViewId="0">
      <pane xSplit="6" ySplit="2" topLeftCell="G3" activePane="bottomRight" state="frozen"/>
      <selection activeCell="JC2" sqref="JC2"/>
      <selection pane="topRight" activeCell="JC2" sqref="JC2"/>
      <selection pane="bottomLeft" activeCell="JC2" sqref="JC2"/>
      <selection pane="bottomRight" activeCell="K7" sqref="K7"/>
    </sheetView>
  </sheetViews>
  <sheetFormatPr defaultColWidth="10" defaultRowHeight="14.25"/>
  <cols>
    <col min="1" max="1" width="9.875" style="7" customWidth="1"/>
    <col min="2" max="2" width="13.75" style="7" customWidth="1"/>
    <col min="3" max="3" width="17.25" style="7" customWidth="1"/>
    <col min="4" max="4" width="31.75" style="7" customWidth="1"/>
    <col min="5" max="5" width="2.375" style="7" bestFit="1" customWidth="1"/>
    <col min="6" max="6" width="15.5" style="8" hidden="1" customWidth="1"/>
    <col min="7" max="125" width="10" style="7" customWidth="1"/>
    <col min="126" max="137" width="10" style="6"/>
    <col min="138" max="138" width="10" style="7" customWidth="1"/>
    <col min="139" max="16384" width="10" style="6"/>
  </cols>
  <sheetData>
    <row r="1" spans="1:265" ht="30" customHeight="1">
      <c r="A1" s="40" t="s">
        <v>101</v>
      </c>
      <c r="F1" s="39"/>
    </row>
    <row r="2" spans="1:265" ht="15" customHeight="1">
      <c r="A2" s="38"/>
      <c r="B2" s="37" t="s">
        <v>100</v>
      </c>
      <c r="C2" s="37" t="s">
        <v>99</v>
      </c>
      <c r="D2" s="37" t="s">
        <v>98</v>
      </c>
      <c r="E2" s="37" t="s">
        <v>97</v>
      </c>
      <c r="F2" s="36" t="s">
        <v>96</v>
      </c>
      <c r="G2" s="35">
        <v>38353</v>
      </c>
      <c r="H2" s="35">
        <v>38384</v>
      </c>
      <c r="I2" s="35">
        <v>38412</v>
      </c>
      <c r="J2" s="35">
        <v>38443</v>
      </c>
      <c r="K2" s="35">
        <v>38473</v>
      </c>
      <c r="L2" s="35">
        <v>38504</v>
      </c>
      <c r="M2" s="35">
        <v>38534</v>
      </c>
      <c r="N2" s="35">
        <v>38565</v>
      </c>
      <c r="O2" s="35">
        <v>38596</v>
      </c>
      <c r="P2" s="35">
        <v>38626</v>
      </c>
      <c r="Q2" s="35">
        <v>38657</v>
      </c>
      <c r="R2" s="35">
        <v>38687</v>
      </c>
      <c r="S2" s="35">
        <v>38718</v>
      </c>
      <c r="T2" s="35">
        <v>38749</v>
      </c>
      <c r="U2" s="35">
        <v>38777</v>
      </c>
      <c r="V2" s="35">
        <v>38808</v>
      </c>
      <c r="W2" s="35">
        <v>38838</v>
      </c>
      <c r="X2" s="35">
        <v>38869</v>
      </c>
      <c r="Y2" s="35">
        <v>38899</v>
      </c>
      <c r="Z2" s="35">
        <v>38930</v>
      </c>
      <c r="AA2" s="35">
        <v>38961</v>
      </c>
      <c r="AB2" s="35">
        <v>38991</v>
      </c>
      <c r="AC2" s="35">
        <v>39022</v>
      </c>
      <c r="AD2" s="35">
        <v>39052</v>
      </c>
      <c r="AE2" s="35">
        <v>39083</v>
      </c>
      <c r="AF2" s="35">
        <v>39114</v>
      </c>
      <c r="AG2" s="35">
        <v>39142</v>
      </c>
      <c r="AH2" s="35">
        <v>39173</v>
      </c>
      <c r="AI2" s="35">
        <v>39203</v>
      </c>
      <c r="AJ2" s="35">
        <v>39234</v>
      </c>
      <c r="AK2" s="35">
        <v>39264</v>
      </c>
      <c r="AL2" s="35">
        <v>39295</v>
      </c>
      <c r="AM2" s="35">
        <v>39326</v>
      </c>
      <c r="AN2" s="35">
        <v>39356</v>
      </c>
      <c r="AO2" s="35">
        <v>39387</v>
      </c>
      <c r="AP2" s="35">
        <v>39417</v>
      </c>
      <c r="AQ2" s="35">
        <v>39448</v>
      </c>
      <c r="AR2" s="35">
        <v>39479</v>
      </c>
      <c r="AS2" s="35">
        <v>39508</v>
      </c>
      <c r="AT2" s="35">
        <v>39539</v>
      </c>
      <c r="AU2" s="35">
        <v>39569</v>
      </c>
      <c r="AV2" s="35">
        <v>39600</v>
      </c>
      <c r="AW2" s="35">
        <v>39630</v>
      </c>
      <c r="AX2" s="35">
        <v>39661</v>
      </c>
      <c r="AY2" s="35">
        <v>39692</v>
      </c>
      <c r="AZ2" s="35">
        <v>39722</v>
      </c>
      <c r="BA2" s="35">
        <v>39753</v>
      </c>
      <c r="BB2" s="35">
        <v>39783</v>
      </c>
      <c r="BC2" s="35">
        <v>39814</v>
      </c>
      <c r="BD2" s="35">
        <v>39845</v>
      </c>
      <c r="BE2" s="35">
        <v>39873</v>
      </c>
      <c r="BF2" s="35">
        <v>39904</v>
      </c>
      <c r="BG2" s="35">
        <v>39934</v>
      </c>
      <c r="BH2" s="35">
        <v>39965</v>
      </c>
      <c r="BI2" s="35">
        <v>39995</v>
      </c>
      <c r="BJ2" s="35">
        <v>40026</v>
      </c>
      <c r="BK2" s="35">
        <v>40057</v>
      </c>
      <c r="BL2" s="35">
        <v>40087</v>
      </c>
      <c r="BM2" s="35">
        <v>40118</v>
      </c>
      <c r="BN2" s="35">
        <v>40148</v>
      </c>
      <c r="BO2" s="35">
        <v>40179</v>
      </c>
      <c r="BP2" s="35">
        <v>40210</v>
      </c>
      <c r="BQ2" s="35">
        <v>40238</v>
      </c>
      <c r="BR2" s="35">
        <v>40269</v>
      </c>
      <c r="BS2" s="35">
        <v>40299</v>
      </c>
      <c r="BT2" s="35">
        <v>40330</v>
      </c>
      <c r="BU2" s="35">
        <v>40360</v>
      </c>
      <c r="BV2" s="35">
        <v>40391</v>
      </c>
      <c r="BW2" s="35">
        <v>40422</v>
      </c>
      <c r="BX2" s="35">
        <v>40452</v>
      </c>
      <c r="BY2" s="35">
        <v>40483</v>
      </c>
      <c r="BZ2" s="35">
        <v>40513</v>
      </c>
      <c r="CA2" s="35">
        <v>40544</v>
      </c>
      <c r="CB2" s="35">
        <v>40575</v>
      </c>
      <c r="CC2" s="35">
        <v>40603</v>
      </c>
      <c r="CD2" s="35">
        <v>40634</v>
      </c>
      <c r="CE2" s="35">
        <v>40664</v>
      </c>
      <c r="CF2" s="35">
        <v>40695</v>
      </c>
      <c r="CG2" s="35">
        <v>40725</v>
      </c>
      <c r="CH2" s="35">
        <v>40756</v>
      </c>
      <c r="CI2" s="35">
        <v>40787</v>
      </c>
      <c r="CJ2" s="35">
        <v>40817</v>
      </c>
      <c r="CK2" s="35">
        <v>40848</v>
      </c>
      <c r="CL2" s="35">
        <v>40878</v>
      </c>
      <c r="CM2" s="35">
        <v>40909</v>
      </c>
      <c r="CN2" s="35">
        <v>40940</v>
      </c>
      <c r="CO2" s="35">
        <v>40969</v>
      </c>
      <c r="CP2" s="35">
        <v>41000</v>
      </c>
      <c r="CQ2" s="35">
        <v>41030</v>
      </c>
      <c r="CR2" s="35">
        <v>41061</v>
      </c>
      <c r="CS2" s="35">
        <v>41091</v>
      </c>
      <c r="CT2" s="35">
        <v>41122</v>
      </c>
      <c r="CU2" s="35">
        <v>41153</v>
      </c>
      <c r="CV2" s="35">
        <v>41183</v>
      </c>
      <c r="CW2" s="35">
        <v>41214</v>
      </c>
      <c r="CX2" s="35">
        <v>41244</v>
      </c>
      <c r="CY2" s="35">
        <v>41275</v>
      </c>
      <c r="CZ2" s="35">
        <v>41306</v>
      </c>
      <c r="DA2" s="35">
        <v>41334</v>
      </c>
      <c r="DB2" s="35">
        <v>41365</v>
      </c>
      <c r="DC2" s="35">
        <v>41395</v>
      </c>
      <c r="DD2" s="35">
        <v>41426</v>
      </c>
      <c r="DE2" s="35">
        <v>41456</v>
      </c>
      <c r="DF2" s="35">
        <v>41487</v>
      </c>
      <c r="DG2" s="35">
        <v>41518</v>
      </c>
      <c r="DH2" s="35">
        <v>41548</v>
      </c>
      <c r="DI2" s="35">
        <v>41579</v>
      </c>
      <c r="DJ2" s="35">
        <v>41609</v>
      </c>
      <c r="DK2" s="35">
        <v>41640</v>
      </c>
      <c r="DL2" s="35">
        <v>41671</v>
      </c>
      <c r="DM2" s="35">
        <v>41699</v>
      </c>
      <c r="DN2" s="35">
        <v>41730</v>
      </c>
      <c r="DO2" s="35">
        <v>41760</v>
      </c>
      <c r="DP2" s="35">
        <v>41791</v>
      </c>
      <c r="DQ2" s="35">
        <v>41821</v>
      </c>
      <c r="DR2" s="35">
        <v>41852</v>
      </c>
      <c r="DS2" s="35">
        <v>41883</v>
      </c>
      <c r="DT2" s="35">
        <v>41913</v>
      </c>
      <c r="DU2" s="35">
        <v>41944</v>
      </c>
      <c r="DV2" s="35">
        <v>41974</v>
      </c>
      <c r="DW2" s="35">
        <v>42005</v>
      </c>
      <c r="DX2" s="35">
        <v>42036</v>
      </c>
      <c r="DY2" s="35">
        <v>42064</v>
      </c>
      <c r="DZ2" s="35">
        <v>42095</v>
      </c>
      <c r="EA2" s="35">
        <v>42125</v>
      </c>
      <c r="EB2" s="35">
        <v>42156</v>
      </c>
      <c r="EC2" s="35">
        <v>42186</v>
      </c>
      <c r="ED2" s="35">
        <v>42217</v>
      </c>
      <c r="EE2" s="35">
        <v>42248</v>
      </c>
      <c r="EF2" s="35">
        <v>42278</v>
      </c>
      <c r="EG2" s="35">
        <v>42309</v>
      </c>
      <c r="EH2" s="35">
        <v>42339</v>
      </c>
      <c r="EI2" s="35">
        <v>42370</v>
      </c>
      <c r="EJ2" s="35">
        <v>42401</v>
      </c>
      <c r="EK2" s="35">
        <v>42430</v>
      </c>
      <c r="EL2" s="35">
        <v>42461</v>
      </c>
      <c r="EM2" s="35">
        <v>42491</v>
      </c>
      <c r="EN2" s="35">
        <v>42522</v>
      </c>
      <c r="EO2" s="35">
        <v>42552</v>
      </c>
      <c r="EP2" s="35">
        <v>42583</v>
      </c>
      <c r="EQ2" s="35">
        <v>42614</v>
      </c>
      <c r="ER2" s="35">
        <v>42644</v>
      </c>
      <c r="ES2" s="35">
        <v>42675</v>
      </c>
      <c r="ET2" s="35">
        <v>42705</v>
      </c>
      <c r="EU2" s="35">
        <v>42736</v>
      </c>
      <c r="EV2" s="35">
        <v>42767</v>
      </c>
      <c r="EW2" s="35">
        <v>42795</v>
      </c>
      <c r="EX2" s="35">
        <v>42826</v>
      </c>
      <c r="EY2" s="35">
        <v>42856</v>
      </c>
      <c r="EZ2" s="35">
        <v>42887</v>
      </c>
      <c r="FA2" s="35">
        <v>42917</v>
      </c>
      <c r="FB2" s="35">
        <v>42948</v>
      </c>
      <c r="FC2" s="35">
        <v>42979</v>
      </c>
      <c r="FD2" s="35">
        <v>43009</v>
      </c>
      <c r="FE2" s="35">
        <v>43040</v>
      </c>
      <c r="FF2" s="35">
        <v>43070</v>
      </c>
      <c r="FG2" s="35">
        <v>43101</v>
      </c>
      <c r="FH2" s="35">
        <v>43132</v>
      </c>
      <c r="FI2" s="35">
        <v>43160</v>
      </c>
      <c r="FJ2" s="35">
        <v>43191</v>
      </c>
      <c r="FK2" s="35">
        <v>43221</v>
      </c>
      <c r="FL2" s="35">
        <v>43252</v>
      </c>
      <c r="FM2" s="35">
        <v>43282</v>
      </c>
      <c r="FN2" s="35">
        <v>43313</v>
      </c>
      <c r="FO2" s="35">
        <v>43344</v>
      </c>
      <c r="FP2" s="35">
        <v>43374</v>
      </c>
      <c r="FQ2" s="35">
        <v>43405</v>
      </c>
      <c r="FR2" s="35">
        <v>43435</v>
      </c>
      <c r="FS2" s="35">
        <v>43466</v>
      </c>
      <c r="FT2" s="35">
        <v>43497</v>
      </c>
      <c r="FU2" s="35">
        <v>43525</v>
      </c>
      <c r="FV2" s="35">
        <v>43556</v>
      </c>
      <c r="FW2" s="35">
        <v>43586</v>
      </c>
      <c r="FX2" s="35">
        <v>43617</v>
      </c>
      <c r="FY2" s="35">
        <v>43647</v>
      </c>
      <c r="FZ2" s="34">
        <v>43678</v>
      </c>
      <c r="GA2" s="30">
        <v>43709</v>
      </c>
      <c r="GB2" s="30">
        <v>43739</v>
      </c>
      <c r="GC2" s="30">
        <v>43770</v>
      </c>
      <c r="GD2" s="30">
        <v>43800</v>
      </c>
      <c r="GE2" s="30">
        <v>43831</v>
      </c>
      <c r="GF2" s="30">
        <v>43862</v>
      </c>
      <c r="GG2" s="35">
        <v>43891</v>
      </c>
      <c r="GH2" s="34">
        <v>43922</v>
      </c>
      <c r="GI2" s="34">
        <v>43952</v>
      </c>
      <c r="GJ2" s="30">
        <v>43983</v>
      </c>
      <c r="GK2" s="30">
        <v>44013</v>
      </c>
      <c r="GL2" s="35">
        <v>44044</v>
      </c>
      <c r="GM2" s="35">
        <v>44075</v>
      </c>
      <c r="GN2" s="34">
        <v>44105</v>
      </c>
      <c r="GO2" s="30">
        <v>44136</v>
      </c>
      <c r="GP2" s="30">
        <v>44166</v>
      </c>
      <c r="GQ2" s="30">
        <v>44197</v>
      </c>
      <c r="GR2" s="33">
        <v>44228</v>
      </c>
      <c r="GS2" s="32">
        <v>44256</v>
      </c>
      <c r="GT2" s="31">
        <v>44287</v>
      </c>
      <c r="GU2" s="30">
        <v>44317</v>
      </c>
      <c r="GV2" s="33">
        <v>44348</v>
      </c>
      <c r="GW2" s="32">
        <v>44378</v>
      </c>
      <c r="GX2" s="31">
        <v>44409</v>
      </c>
      <c r="GY2" s="30">
        <v>44440</v>
      </c>
      <c r="GZ2" s="30">
        <v>44470</v>
      </c>
      <c r="HA2" s="30">
        <v>44501</v>
      </c>
      <c r="HB2" s="30">
        <v>44531</v>
      </c>
      <c r="HC2" s="30">
        <v>44562</v>
      </c>
      <c r="HD2" s="30">
        <v>44593</v>
      </c>
      <c r="HE2" s="30">
        <v>44621</v>
      </c>
      <c r="HF2" s="30">
        <v>44652</v>
      </c>
      <c r="HG2" s="30">
        <v>44682</v>
      </c>
      <c r="HH2" s="30">
        <v>44713</v>
      </c>
      <c r="HI2" s="30">
        <v>44743</v>
      </c>
      <c r="HJ2" s="30">
        <v>44774</v>
      </c>
      <c r="HK2" s="30">
        <v>44805</v>
      </c>
      <c r="HL2" s="31">
        <v>44835</v>
      </c>
      <c r="HM2" s="31">
        <v>44866</v>
      </c>
      <c r="HN2" s="31">
        <v>44896</v>
      </c>
      <c r="HO2" s="31">
        <v>44927</v>
      </c>
      <c r="HP2" s="31">
        <v>44958</v>
      </c>
      <c r="HQ2" s="31">
        <v>44986</v>
      </c>
      <c r="HR2" s="31">
        <v>45017</v>
      </c>
      <c r="HS2" s="31">
        <v>45047</v>
      </c>
      <c r="HT2" s="31">
        <v>45078</v>
      </c>
      <c r="HU2" s="30">
        <v>45108</v>
      </c>
      <c r="HV2" s="30">
        <v>45139</v>
      </c>
      <c r="HW2" s="30">
        <v>45170</v>
      </c>
      <c r="HX2" s="30">
        <v>45200</v>
      </c>
      <c r="HY2" s="30">
        <v>45231</v>
      </c>
      <c r="HZ2" s="33">
        <v>45261</v>
      </c>
      <c r="IA2" s="31">
        <v>45292</v>
      </c>
      <c r="IB2" s="31">
        <v>45323</v>
      </c>
      <c r="IC2" s="30">
        <v>45352</v>
      </c>
      <c r="ID2" s="30">
        <v>45383</v>
      </c>
      <c r="IE2" s="33">
        <v>45413</v>
      </c>
      <c r="IF2" s="32">
        <v>45444</v>
      </c>
      <c r="IG2" s="32">
        <v>45474</v>
      </c>
      <c r="IH2" s="32">
        <v>45505</v>
      </c>
      <c r="II2" s="33">
        <v>45536</v>
      </c>
      <c r="IJ2" s="33">
        <v>45566</v>
      </c>
      <c r="IK2" s="33">
        <v>45597</v>
      </c>
      <c r="IL2" s="33">
        <v>45627</v>
      </c>
      <c r="IM2" s="32">
        <v>45658</v>
      </c>
      <c r="IN2" s="31">
        <v>45689</v>
      </c>
      <c r="IO2" s="30">
        <v>45717</v>
      </c>
      <c r="IP2" s="33">
        <v>45748</v>
      </c>
      <c r="IQ2" s="33">
        <v>45778</v>
      </c>
      <c r="IR2" s="32">
        <v>45809</v>
      </c>
      <c r="IS2" s="33">
        <v>45839</v>
      </c>
      <c r="IT2" s="33">
        <v>45870</v>
      </c>
      <c r="IU2" s="33">
        <v>45901</v>
      </c>
      <c r="IV2" s="33">
        <v>45931</v>
      </c>
      <c r="IW2" s="33">
        <v>45962</v>
      </c>
      <c r="IX2" s="31">
        <v>45992</v>
      </c>
      <c r="IY2" s="31">
        <v>46023</v>
      </c>
      <c r="IZ2" s="30">
        <v>46054</v>
      </c>
      <c r="JA2" s="30">
        <v>46082</v>
      </c>
      <c r="JB2" s="30">
        <v>46113</v>
      </c>
      <c r="JC2" s="32">
        <v>46143</v>
      </c>
      <c r="JD2" s="31">
        <v>46174</v>
      </c>
      <c r="JE2" s="30">
        <v>46204</v>
      </c>
    </row>
    <row r="3" spans="1:265" ht="12.75">
      <c r="A3" s="59" t="s">
        <v>95</v>
      </c>
      <c r="B3" s="59" t="s">
        <v>74</v>
      </c>
      <c r="C3" s="59" t="s">
        <v>88</v>
      </c>
      <c r="D3" s="29" t="s">
        <v>87</v>
      </c>
      <c r="E3" s="20">
        <v>1</v>
      </c>
      <c r="F3" s="19" t="s">
        <v>94</v>
      </c>
      <c r="G3" s="27">
        <v>5.28E-2</v>
      </c>
      <c r="H3" s="27">
        <v>5.1799999999999999E-2</v>
      </c>
      <c r="I3" s="27">
        <v>5.16E-2</v>
      </c>
      <c r="J3" s="27">
        <v>4.9399999999999999E-2</v>
      </c>
      <c r="K3" s="27">
        <v>4.5900000000000003E-2</v>
      </c>
      <c r="L3" s="27">
        <v>4.4299999999999999E-2</v>
      </c>
      <c r="M3" s="27">
        <v>4.1399999999999999E-2</v>
      </c>
      <c r="N3" s="27">
        <v>3.9899999999999998E-2</v>
      </c>
      <c r="O3" s="27">
        <v>3.8300000000000001E-2</v>
      </c>
      <c r="P3" s="27">
        <v>3.7199999999999997E-2</v>
      </c>
      <c r="Q3" s="27">
        <v>3.7400000000000003E-2</v>
      </c>
      <c r="R3" s="27">
        <v>3.6200000000000003E-2</v>
      </c>
      <c r="S3" s="27">
        <v>3.7100000000000001E-2</v>
      </c>
      <c r="T3" s="27">
        <v>3.61E-2</v>
      </c>
      <c r="U3" s="27">
        <v>3.3399999999999999E-2</v>
      </c>
      <c r="V3" s="27">
        <v>3.39E-2</v>
      </c>
      <c r="W3" s="27">
        <v>3.32E-2</v>
      </c>
      <c r="X3" s="27">
        <v>3.3500000000000002E-2</v>
      </c>
      <c r="Y3" s="27">
        <v>3.3500000000000002E-2</v>
      </c>
      <c r="Z3" s="27">
        <v>3.3599999999999998E-2</v>
      </c>
      <c r="AA3" s="27">
        <v>3.3300000000000003E-2</v>
      </c>
      <c r="AB3" s="27">
        <v>3.39E-2</v>
      </c>
      <c r="AC3" s="27">
        <v>3.3500000000000002E-2</v>
      </c>
      <c r="AD3" s="27">
        <v>3.3300000000000003E-2</v>
      </c>
      <c r="AE3" s="27">
        <v>3.3599999999999998E-2</v>
      </c>
      <c r="AF3" s="27">
        <v>3.4099999999999998E-2</v>
      </c>
      <c r="AG3" s="27">
        <v>3.4000000000000002E-2</v>
      </c>
      <c r="AH3" s="27">
        <v>3.39E-2</v>
      </c>
      <c r="AI3" s="27">
        <v>3.5400000000000001E-2</v>
      </c>
      <c r="AJ3" s="27">
        <v>3.5999999999999997E-2</v>
      </c>
      <c r="AK3" s="27">
        <v>3.7499999999999999E-2</v>
      </c>
      <c r="AL3" s="27">
        <v>3.8199999999999998E-2</v>
      </c>
      <c r="AM3" s="27">
        <v>3.95E-2</v>
      </c>
      <c r="AN3" s="27">
        <v>4.0599999999999997E-2</v>
      </c>
      <c r="AO3" s="27">
        <v>4.0899999999999999E-2</v>
      </c>
      <c r="AP3" s="27">
        <v>4.1000000000000002E-2</v>
      </c>
      <c r="AQ3" s="27">
        <v>4.3200000000000002E-2</v>
      </c>
      <c r="AR3" s="27">
        <v>4.5999999999999999E-2</v>
      </c>
      <c r="AS3" s="27">
        <v>4.9099999999999998E-2</v>
      </c>
      <c r="AT3" s="27">
        <v>5.1400000000000001E-2</v>
      </c>
      <c r="AU3" s="27">
        <v>5.0599999999999999E-2</v>
      </c>
      <c r="AV3" s="27">
        <v>5.1900000000000002E-2</v>
      </c>
      <c r="AW3" s="27">
        <v>5.16E-2</v>
      </c>
      <c r="AX3" s="27">
        <v>5.2600000000000001E-2</v>
      </c>
      <c r="AY3" s="27">
        <v>5.3100000000000001E-2</v>
      </c>
      <c r="AZ3" s="27">
        <v>5.4100000000000002E-2</v>
      </c>
      <c r="BA3" s="27">
        <v>5.3900000000000003E-2</v>
      </c>
      <c r="BB3" s="27">
        <v>5.3800000000000001E-2</v>
      </c>
      <c r="BC3" s="27">
        <v>5.2400000000000002E-2</v>
      </c>
      <c r="BD3" s="27">
        <v>4.53E-2</v>
      </c>
      <c r="BE3" s="27">
        <v>4.1099999999999998E-2</v>
      </c>
      <c r="BF3" s="27">
        <v>3.7499999999999999E-2</v>
      </c>
      <c r="BG3" s="27">
        <v>3.5299999999999998E-2</v>
      </c>
      <c r="BH3" s="27">
        <v>3.5000000000000003E-2</v>
      </c>
      <c r="BI3" s="27">
        <v>3.2399999999999998E-2</v>
      </c>
      <c r="BJ3" s="27">
        <v>3.15E-2</v>
      </c>
      <c r="BK3" s="27">
        <v>3.1199999999999999E-2</v>
      </c>
      <c r="BL3" s="27">
        <v>3.04E-2</v>
      </c>
      <c r="BM3" s="27">
        <v>3.0300000000000001E-2</v>
      </c>
      <c r="BN3" s="27">
        <v>2.8799999999999999E-2</v>
      </c>
      <c r="BO3" s="27">
        <v>2.7E-2</v>
      </c>
      <c r="BP3" s="27">
        <v>2.7300000000000001E-2</v>
      </c>
      <c r="BQ3" s="27">
        <v>2.8000000000000001E-2</v>
      </c>
      <c r="BR3" s="27">
        <v>2.75E-2</v>
      </c>
      <c r="BS3" s="27">
        <v>2.87E-2</v>
      </c>
      <c r="BT3" s="27">
        <v>2.8799999999999999E-2</v>
      </c>
      <c r="BU3" s="27">
        <v>2.75E-2</v>
      </c>
      <c r="BV3" s="27">
        <v>2.7E-2</v>
      </c>
      <c r="BW3" s="27">
        <v>2.76E-2</v>
      </c>
      <c r="BX3" s="27">
        <v>2.7199999999999998E-2</v>
      </c>
      <c r="BY3" s="27">
        <v>2.7300000000000001E-2</v>
      </c>
      <c r="BZ3" s="27">
        <v>2.6499999999999999E-2</v>
      </c>
      <c r="CA3" s="27">
        <v>2.7300000000000001E-2</v>
      </c>
      <c r="CB3" s="27">
        <v>2.8799999999999999E-2</v>
      </c>
      <c r="CC3" s="27">
        <v>2.9600000000000001E-2</v>
      </c>
      <c r="CD3" s="27">
        <v>3.0599999999999999E-2</v>
      </c>
      <c r="CE3" s="27">
        <v>3.2099999999999997E-2</v>
      </c>
      <c r="CF3" s="27">
        <v>3.5999999999999997E-2</v>
      </c>
      <c r="CG3" s="27">
        <v>3.6900000000000002E-2</v>
      </c>
      <c r="CH3" s="27">
        <v>3.7900000000000003E-2</v>
      </c>
      <c r="CI3" s="27">
        <v>3.7900000000000003E-2</v>
      </c>
      <c r="CJ3" s="27">
        <v>3.8300000000000001E-2</v>
      </c>
      <c r="CK3" s="27">
        <v>3.8600000000000002E-2</v>
      </c>
      <c r="CL3" s="27">
        <v>3.9199999999999999E-2</v>
      </c>
      <c r="CM3" s="27">
        <v>3.9600000000000003E-2</v>
      </c>
      <c r="CN3" s="27">
        <v>3.8800000000000001E-2</v>
      </c>
      <c r="CO3" s="27">
        <v>3.95E-2</v>
      </c>
      <c r="CP3" s="27">
        <v>3.6400000000000002E-2</v>
      </c>
      <c r="CQ3" s="27">
        <v>3.7199999999999997E-2</v>
      </c>
      <c r="CR3" s="27">
        <v>3.7199999999999997E-2</v>
      </c>
      <c r="CS3" s="27">
        <v>3.5700000000000003E-2</v>
      </c>
      <c r="CT3" s="27">
        <v>3.4200000000000001E-2</v>
      </c>
      <c r="CU3" s="27">
        <v>3.5400000000000001E-2</v>
      </c>
      <c r="CV3" s="27">
        <v>3.44E-2</v>
      </c>
      <c r="CW3" s="27">
        <v>3.4000000000000002E-2</v>
      </c>
      <c r="CX3" s="27">
        <v>3.2099999999999997E-2</v>
      </c>
      <c r="CY3" s="27">
        <v>2.9100000000000001E-2</v>
      </c>
      <c r="CZ3" s="27">
        <v>2.76E-2</v>
      </c>
      <c r="DA3" s="27">
        <v>2.4899999999999999E-2</v>
      </c>
      <c r="DB3" s="27">
        <v>2.3E-2</v>
      </c>
      <c r="DC3" s="27">
        <v>2.1499999999999998E-2</v>
      </c>
      <c r="DD3" s="27">
        <v>2.06E-2</v>
      </c>
      <c r="DE3" s="27">
        <v>2.0299999999999999E-2</v>
      </c>
      <c r="DF3" s="27">
        <v>0.02</v>
      </c>
      <c r="DG3" s="27">
        <v>2.1499999999999998E-2</v>
      </c>
      <c r="DH3" s="27">
        <v>2.12E-2</v>
      </c>
      <c r="DI3" s="27">
        <v>2.12E-2</v>
      </c>
      <c r="DJ3" s="27">
        <v>2.1600000000000001E-2</v>
      </c>
      <c r="DK3" s="27">
        <v>2.1999999999999999E-2</v>
      </c>
      <c r="DL3" s="27">
        <v>2.1899999999999999E-2</v>
      </c>
      <c r="DM3" s="27">
        <v>2.2200000000000001E-2</v>
      </c>
      <c r="DN3" s="27">
        <v>2.2499999999999999E-2</v>
      </c>
      <c r="DO3" s="27">
        <v>2.2599999999999999E-2</v>
      </c>
      <c r="DP3" s="27">
        <v>2.23E-2</v>
      </c>
      <c r="DQ3" s="27">
        <v>2.2200000000000001E-2</v>
      </c>
      <c r="DR3" s="27">
        <v>2.24E-2</v>
      </c>
      <c r="DS3" s="27">
        <v>2.2700000000000001E-2</v>
      </c>
      <c r="DT3" s="27">
        <v>1.9900000000000001E-2</v>
      </c>
      <c r="DU3" s="27">
        <v>1.77E-2</v>
      </c>
      <c r="DV3" s="27">
        <v>2.1700000000000001E-2</v>
      </c>
      <c r="DW3" s="27">
        <v>2.1299999999999999E-2</v>
      </c>
      <c r="DX3" s="27">
        <v>2.1100000000000001E-2</v>
      </c>
      <c r="DY3" s="27">
        <v>1.83E-2</v>
      </c>
      <c r="DZ3" s="27">
        <v>1.66E-2</v>
      </c>
      <c r="EA3" s="27">
        <v>1.46E-2</v>
      </c>
      <c r="EB3" s="27">
        <v>1.49E-2</v>
      </c>
      <c r="EC3" s="27">
        <v>1.4999999999999999E-2</v>
      </c>
      <c r="ED3" s="27">
        <v>1.5299999999999999E-2</v>
      </c>
      <c r="EE3" s="27">
        <v>1.54E-2</v>
      </c>
      <c r="EF3" s="27">
        <v>1.5100000000000001E-2</v>
      </c>
      <c r="EG3" s="27">
        <v>1.55E-2</v>
      </c>
      <c r="EH3" s="27">
        <v>1.54E-2</v>
      </c>
      <c r="EI3" s="27">
        <v>1.4500000000000001E-2</v>
      </c>
      <c r="EJ3" s="27">
        <v>1.3899999999999999E-2</v>
      </c>
      <c r="EK3" s="27">
        <v>1.3899999999999999E-2</v>
      </c>
      <c r="EL3" s="27">
        <v>1.3599999999999999E-2</v>
      </c>
      <c r="EM3" s="27">
        <v>1.3100000000000001E-2</v>
      </c>
      <c r="EN3" s="27">
        <v>1.26E-2</v>
      </c>
      <c r="EO3" s="27">
        <v>1.29E-2</v>
      </c>
      <c r="EP3" s="27">
        <v>1.3599999999999999E-2</v>
      </c>
      <c r="EQ3" s="27">
        <v>1.32E-2</v>
      </c>
      <c r="ER3" s="27">
        <v>1.2699999999999999E-2</v>
      </c>
      <c r="ES3" s="27">
        <v>1.2200000000000001E-2</v>
      </c>
      <c r="ET3" s="27">
        <v>1.12E-2</v>
      </c>
      <c r="EU3" s="27">
        <v>1.2E-2</v>
      </c>
      <c r="EV3" s="27">
        <v>1.15E-2</v>
      </c>
      <c r="EW3" s="27">
        <v>1.15E-2</v>
      </c>
      <c r="EX3" s="27">
        <v>1.06E-2</v>
      </c>
      <c r="EY3" s="27">
        <v>1.0200000000000001E-2</v>
      </c>
      <c r="EZ3" s="27">
        <v>1.01E-2</v>
      </c>
      <c r="FA3" s="27">
        <v>1.06E-2</v>
      </c>
      <c r="FB3" s="27">
        <v>1.04E-2</v>
      </c>
      <c r="FC3" s="27">
        <v>1.0200000000000001E-2</v>
      </c>
      <c r="FD3" s="27">
        <v>1.09E-2</v>
      </c>
      <c r="FE3" s="27">
        <v>1.14E-2</v>
      </c>
      <c r="FF3" s="27">
        <v>1.1900000000000001E-2</v>
      </c>
      <c r="FG3" s="27">
        <v>1.1599999999999999E-2</v>
      </c>
      <c r="FH3" s="27">
        <v>1.0800000000000001E-2</v>
      </c>
      <c r="FI3" s="27">
        <v>1.0800000000000001E-2</v>
      </c>
      <c r="FJ3" s="27">
        <v>1.0800000000000001E-2</v>
      </c>
      <c r="FK3" s="27">
        <v>1.0699999999999999E-2</v>
      </c>
      <c r="FL3" s="27">
        <v>1.1900000000000001E-2</v>
      </c>
      <c r="FM3" s="27">
        <v>1.21E-2</v>
      </c>
      <c r="FN3" s="27">
        <v>1.1900000000000001E-2</v>
      </c>
      <c r="FO3" s="27">
        <v>1.6400000000000001E-2</v>
      </c>
      <c r="FP3" s="27">
        <v>1.26E-2</v>
      </c>
      <c r="FQ3" s="27">
        <v>1.0999999999999999E-2</v>
      </c>
      <c r="FR3" s="27">
        <v>9.7999999999999997E-3</v>
      </c>
      <c r="FS3" s="27">
        <v>1.0200000000000001E-2</v>
      </c>
      <c r="FT3" s="27">
        <v>1.06E-2</v>
      </c>
      <c r="FU3" s="27">
        <v>8.5000000000000006E-3</v>
      </c>
      <c r="FV3" s="27">
        <v>8.5000000000000006E-3</v>
      </c>
      <c r="FW3" s="27">
        <v>8.6999999999999994E-3</v>
      </c>
      <c r="FX3" s="27">
        <v>9.1000000000000004E-3</v>
      </c>
      <c r="FY3" s="27">
        <v>8.8000000000000005E-3</v>
      </c>
      <c r="FZ3" s="26">
        <v>8.5000000000000006E-3</v>
      </c>
      <c r="GA3" s="22">
        <v>8.3999999999999995E-3</v>
      </c>
      <c r="GB3" s="22">
        <v>8.3999999999999995E-3</v>
      </c>
      <c r="GC3" s="22">
        <v>8.5000000000000006E-3</v>
      </c>
      <c r="GD3" s="22">
        <v>8.0000000000000002E-3</v>
      </c>
      <c r="GE3" s="22">
        <v>8.2000000000000007E-3</v>
      </c>
      <c r="GF3" s="22">
        <v>8.0000000000000002E-3</v>
      </c>
      <c r="GG3" s="27">
        <v>7.0000000000000001E-3</v>
      </c>
      <c r="GH3" s="26">
        <v>4.3E-3</v>
      </c>
      <c r="GI3" s="26">
        <v>3.5999999999999999E-3</v>
      </c>
      <c r="GJ3" s="26">
        <v>2.2000000000000001E-3</v>
      </c>
      <c r="GK3" s="22">
        <v>1.6000000000000001E-3</v>
      </c>
      <c r="GL3" s="27">
        <v>1.8E-3</v>
      </c>
      <c r="GM3" s="27">
        <v>2.3999999999999998E-3</v>
      </c>
      <c r="GN3" s="26">
        <v>2.3E-3</v>
      </c>
      <c r="GO3" s="22">
        <v>1.6999999999999999E-3</v>
      </c>
      <c r="GP3" s="22">
        <v>1.2999999999999999E-3</v>
      </c>
      <c r="GQ3" s="22">
        <v>1.2999999999999999E-3</v>
      </c>
      <c r="GR3" s="25">
        <v>1.2999999999999999E-3</v>
      </c>
      <c r="GS3" s="24">
        <v>1E-3</v>
      </c>
      <c r="GT3" s="23">
        <v>1.2999999999999999E-3</v>
      </c>
      <c r="GU3" s="22">
        <v>1.1000000000000001E-3</v>
      </c>
      <c r="GV3" s="25">
        <v>1.1999999999999999E-3</v>
      </c>
      <c r="GW3" s="24">
        <v>1.5E-3</v>
      </c>
      <c r="GX3" s="23">
        <v>1.4E-3</v>
      </c>
      <c r="GY3" s="22">
        <v>1.6999999999999999E-3</v>
      </c>
      <c r="GZ3" s="22">
        <v>2E-3</v>
      </c>
      <c r="HA3" s="25">
        <v>2.3E-3</v>
      </c>
      <c r="HB3" s="25">
        <v>2.8999999999999998E-3</v>
      </c>
      <c r="HC3" s="25">
        <v>4.4000000000000003E-3</v>
      </c>
      <c r="HD3" s="25">
        <v>6.3E-3</v>
      </c>
      <c r="HE3" s="25">
        <v>8.9999999999999993E-3</v>
      </c>
      <c r="HF3" s="25">
        <v>1.5800000000000002E-2</v>
      </c>
      <c r="HG3" s="25">
        <v>3.0800000000000001E-2</v>
      </c>
      <c r="HH3" s="25">
        <v>3.9399999999999998E-2</v>
      </c>
      <c r="HI3" s="25">
        <v>4.0599999999999997E-2</v>
      </c>
      <c r="HJ3" s="25">
        <v>4.1399999999999999E-2</v>
      </c>
      <c r="HK3" s="25">
        <v>4.4999999999999998E-2</v>
      </c>
      <c r="HL3" s="23">
        <v>4.6199999999999998E-2</v>
      </c>
      <c r="HM3" s="23">
        <v>5.7700000000000001E-2</v>
      </c>
      <c r="HN3" s="23">
        <v>6.2E-2</v>
      </c>
      <c r="HO3" s="23">
        <v>5.04E-2</v>
      </c>
      <c r="HP3" s="23">
        <v>4.82E-2</v>
      </c>
      <c r="HQ3" s="23">
        <v>4.9299999999999997E-2</v>
      </c>
      <c r="HR3" s="23">
        <v>0.05</v>
      </c>
      <c r="HS3" s="23">
        <v>4.9599999999999998E-2</v>
      </c>
      <c r="HT3" s="23">
        <v>5.0799999999999998E-2</v>
      </c>
      <c r="HU3" s="23">
        <v>4.87E-2</v>
      </c>
      <c r="HV3" s="23">
        <v>4.9299999999999997E-2</v>
      </c>
      <c r="HW3" s="23">
        <v>4.6600000000000003E-2</v>
      </c>
      <c r="HX3" s="23">
        <v>4.3499999999999997E-2</v>
      </c>
      <c r="HY3" s="22">
        <v>4.2099999999999999E-2</v>
      </c>
      <c r="HZ3" s="25">
        <v>4.2500000000000003E-2</v>
      </c>
      <c r="IA3" s="23">
        <v>4.3299999999999998E-2</v>
      </c>
      <c r="IB3" s="23">
        <v>4.4400000000000002E-2</v>
      </c>
      <c r="IC3" s="22">
        <v>4.3700000000000003E-2</v>
      </c>
      <c r="ID3" s="22">
        <v>4.0399999999999998E-2</v>
      </c>
      <c r="IE3" s="25">
        <v>4.0500000000000001E-2</v>
      </c>
      <c r="IF3" s="24">
        <v>4.0300000000000002E-2</v>
      </c>
      <c r="IG3" s="24">
        <v>4.0099999999999997E-2</v>
      </c>
      <c r="IH3" s="24">
        <v>4.0300000000000002E-2</v>
      </c>
      <c r="II3" s="25">
        <v>4.0099999999999997E-2</v>
      </c>
      <c r="IJ3" s="25">
        <v>3.7499999999999999E-2</v>
      </c>
      <c r="IK3" s="25">
        <v>3.6999999999999998E-2</v>
      </c>
      <c r="IL3" s="25">
        <v>3.6299999999999999E-2</v>
      </c>
      <c r="IM3" s="24">
        <v>3.85E-2</v>
      </c>
      <c r="IN3" s="23">
        <v>3.7499999999999999E-2</v>
      </c>
      <c r="IO3" s="22">
        <v>3.7999999999999999E-2</v>
      </c>
      <c r="IP3" s="25">
        <v>3.73E-2</v>
      </c>
      <c r="IQ3" s="25">
        <v>3.6600000000000001E-2</v>
      </c>
      <c r="IR3" s="24">
        <v>3.5499999999999997E-2</v>
      </c>
      <c r="IS3" s="24">
        <v>3.4299999999999997E-2</v>
      </c>
      <c r="IT3" s="24">
        <v>3.3700000000000001E-2</v>
      </c>
      <c r="IU3" s="24">
        <v>3.27E-2</v>
      </c>
      <c r="IV3" s="25">
        <v>3.2300000000000002E-2</v>
      </c>
      <c r="IW3" s="25">
        <v>2.87E-2</v>
      </c>
      <c r="IX3" s="25">
        <v>2.7099999999999999E-2</v>
      </c>
      <c r="IY3" s="23">
        <v>2.8400000000000002E-2</v>
      </c>
      <c r="IZ3" s="22">
        <v>2.8199999999999999E-2</v>
      </c>
      <c r="JA3" s="22">
        <v>2.7699999999999999E-2</v>
      </c>
      <c r="JB3" s="22">
        <v>2.5899999999999999E-2</v>
      </c>
      <c r="JC3" s="24">
        <v>2.6200000000000001E-2</v>
      </c>
      <c r="JD3" s="23">
        <v>2.47E-2</v>
      </c>
      <c r="JE3" s="22">
        <v>2.63E-2</v>
      </c>
    </row>
    <row r="4" spans="1:265" ht="12.75">
      <c r="A4" s="60"/>
      <c r="B4" s="60"/>
      <c r="C4" s="60"/>
      <c r="D4" s="29" t="s">
        <v>85</v>
      </c>
      <c r="E4" s="20">
        <v>2</v>
      </c>
      <c r="F4" s="19" t="s">
        <v>93</v>
      </c>
      <c r="G4" s="18">
        <v>5.2999999999999999E-2</v>
      </c>
      <c r="H4" s="18">
        <v>5.1799999999999999E-2</v>
      </c>
      <c r="I4" s="18">
        <v>5.0500000000000003E-2</v>
      </c>
      <c r="J4" s="18">
        <v>4.7E-2</v>
      </c>
      <c r="K4" s="18">
        <v>4.2900000000000001E-2</v>
      </c>
      <c r="L4" s="18">
        <v>4.1200000000000001E-2</v>
      </c>
      <c r="M4" s="18">
        <v>3.7499999999999999E-2</v>
      </c>
      <c r="N4" s="18">
        <v>3.5999999999999997E-2</v>
      </c>
      <c r="O4" s="18">
        <v>3.4599999999999999E-2</v>
      </c>
      <c r="P4" s="18">
        <v>3.39E-2</v>
      </c>
      <c r="Q4" s="18">
        <v>3.4200000000000001E-2</v>
      </c>
      <c r="R4" s="18">
        <v>3.4299999999999997E-2</v>
      </c>
      <c r="S4" s="18">
        <v>3.44E-2</v>
      </c>
      <c r="T4" s="18">
        <v>3.1899999999999998E-2</v>
      </c>
      <c r="U4" s="18">
        <v>3.1300000000000001E-2</v>
      </c>
      <c r="V4" s="18">
        <v>3.15E-2</v>
      </c>
      <c r="W4" s="18">
        <v>3.1399999999999997E-2</v>
      </c>
      <c r="X4" s="18">
        <v>3.4299999999999997E-2</v>
      </c>
      <c r="Y4" s="18">
        <v>3.4000000000000002E-2</v>
      </c>
      <c r="Z4" s="18">
        <v>3.2899999999999999E-2</v>
      </c>
      <c r="AA4" s="18">
        <v>3.2899999999999999E-2</v>
      </c>
      <c r="AB4" s="18">
        <v>3.3399999999999999E-2</v>
      </c>
      <c r="AC4" s="18">
        <v>3.4200000000000001E-2</v>
      </c>
      <c r="AD4" s="18">
        <v>3.3300000000000003E-2</v>
      </c>
      <c r="AE4" s="18">
        <v>3.4000000000000002E-2</v>
      </c>
      <c r="AF4" s="18">
        <v>3.27E-2</v>
      </c>
      <c r="AG4" s="18">
        <v>3.39E-2</v>
      </c>
      <c r="AH4" s="18">
        <v>3.4099999999999998E-2</v>
      </c>
      <c r="AI4" s="18">
        <v>3.49E-2</v>
      </c>
      <c r="AJ4" s="18">
        <v>3.5900000000000001E-2</v>
      </c>
      <c r="AK4" s="18">
        <v>3.9399999999999998E-2</v>
      </c>
      <c r="AL4" s="18">
        <v>3.9100000000000003E-2</v>
      </c>
      <c r="AM4" s="18">
        <v>4.0300000000000002E-2</v>
      </c>
      <c r="AN4" s="18">
        <v>4.0899999999999999E-2</v>
      </c>
      <c r="AO4" s="18">
        <v>4.1700000000000001E-2</v>
      </c>
      <c r="AP4" s="18">
        <v>4.4900000000000002E-2</v>
      </c>
      <c r="AQ4" s="18">
        <v>4.4499999999999998E-2</v>
      </c>
      <c r="AR4" s="18">
        <v>4.6399999999999997E-2</v>
      </c>
      <c r="AS4" s="18">
        <v>4.9700000000000001E-2</v>
      </c>
      <c r="AT4" s="18">
        <v>5.1999999999999998E-2</v>
      </c>
      <c r="AU4" s="18">
        <v>5.4300000000000001E-2</v>
      </c>
      <c r="AV4" s="18">
        <v>5.4600000000000003E-2</v>
      </c>
      <c r="AW4" s="18">
        <v>5.6000000000000001E-2</v>
      </c>
      <c r="AX4" s="18">
        <v>5.9299999999999999E-2</v>
      </c>
      <c r="AY4" s="18">
        <v>6.7599999999999993E-2</v>
      </c>
      <c r="AZ4" s="18">
        <v>6.7100000000000007E-2</v>
      </c>
      <c r="BA4" s="18">
        <v>6.9099999999999995E-2</v>
      </c>
      <c r="BB4" s="18">
        <v>7.3400000000000007E-2</v>
      </c>
      <c r="BC4" s="18">
        <v>6.9500000000000006E-2</v>
      </c>
      <c r="BD4" s="18">
        <v>6.2100000000000002E-2</v>
      </c>
      <c r="BE4" s="18">
        <v>5.6599999999999998E-2</v>
      </c>
      <c r="BF4" s="18">
        <v>5.21E-2</v>
      </c>
      <c r="BG4" s="18">
        <v>5.2499999999999998E-2</v>
      </c>
      <c r="BH4" s="18">
        <v>5.16E-2</v>
      </c>
      <c r="BI4" s="18">
        <v>5.0500000000000003E-2</v>
      </c>
      <c r="BJ4" s="18">
        <v>4.9000000000000002E-2</v>
      </c>
      <c r="BK4" s="18">
        <v>4.87E-2</v>
      </c>
      <c r="BL4" s="18">
        <v>4.8500000000000001E-2</v>
      </c>
      <c r="BM4" s="18">
        <v>4.9000000000000002E-2</v>
      </c>
      <c r="BN4" s="18">
        <v>4.8500000000000001E-2</v>
      </c>
      <c r="BO4" s="18">
        <v>4.6399999999999997E-2</v>
      </c>
      <c r="BP4" s="18">
        <v>4.5900000000000003E-2</v>
      </c>
      <c r="BQ4" s="18">
        <v>4.6600000000000003E-2</v>
      </c>
      <c r="BR4" s="18">
        <v>4.3499999999999997E-2</v>
      </c>
      <c r="BS4" s="18">
        <v>4.4200000000000003E-2</v>
      </c>
      <c r="BT4" s="18">
        <v>4.3099999999999999E-2</v>
      </c>
      <c r="BU4" s="18">
        <v>4.2200000000000001E-2</v>
      </c>
      <c r="BV4" s="18">
        <v>4.1200000000000001E-2</v>
      </c>
      <c r="BW4" s="18">
        <v>4.1000000000000002E-2</v>
      </c>
      <c r="BX4" s="18">
        <v>4.02E-2</v>
      </c>
      <c r="BY4" s="18">
        <v>4.1300000000000003E-2</v>
      </c>
      <c r="BZ4" s="18">
        <v>4.2000000000000003E-2</v>
      </c>
      <c r="CA4" s="18">
        <v>4.07E-2</v>
      </c>
      <c r="CB4" s="18">
        <v>0.04</v>
      </c>
      <c r="CC4" s="18">
        <v>4.2200000000000001E-2</v>
      </c>
      <c r="CD4" s="18">
        <v>4.1700000000000001E-2</v>
      </c>
      <c r="CE4" s="18">
        <v>4.2599999999999999E-2</v>
      </c>
      <c r="CF4" s="18">
        <v>4.5999999999999999E-2</v>
      </c>
      <c r="CG4" s="18">
        <v>4.6800000000000001E-2</v>
      </c>
      <c r="CH4" s="18">
        <v>4.5999999999999999E-2</v>
      </c>
      <c r="CI4" s="18">
        <v>4.5699999999999998E-2</v>
      </c>
      <c r="CJ4" s="18">
        <v>4.7399999999999998E-2</v>
      </c>
      <c r="CK4" s="18">
        <v>5.1700000000000003E-2</v>
      </c>
      <c r="CL4" s="18">
        <v>5.3499999999999999E-2</v>
      </c>
      <c r="CM4" s="18">
        <v>5.45E-2</v>
      </c>
      <c r="CN4" s="18">
        <v>5.3900000000000003E-2</v>
      </c>
      <c r="CO4" s="18">
        <v>5.3699999999999998E-2</v>
      </c>
      <c r="CP4" s="18">
        <v>5.3900000000000003E-2</v>
      </c>
      <c r="CQ4" s="18">
        <v>5.5599999999999997E-2</v>
      </c>
      <c r="CR4" s="18">
        <v>5.74E-2</v>
      </c>
      <c r="CS4" s="18">
        <v>5.5800000000000002E-2</v>
      </c>
      <c r="CT4" s="18">
        <v>5.5100000000000003E-2</v>
      </c>
      <c r="CU4" s="18">
        <v>5.4100000000000002E-2</v>
      </c>
      <c r="CV4" s="18">
        <v>5.3999999999999999E-2</v>
      </c>
      <c r="CW4" s="18">
        <v>5.1400000000000001E-2</v>
      </c>
      <c r="CX4" s="18">
        <v>4.8500000000000001E-2</v>
      </c>
      <c r="CY4" s="18">
        <v>4.5600000000000002E-2</v>
      </c>
      <c r="CZ4" s="18">
        <v>4.3799999999999999E-2</v>
      </c>
      <c r="DA4" s="18">
        <v>3.9800000000000002E-2</v>
      </c>
      <c r="DB4" s="18">
        <v>3.6600000000000001E-2</v>
      </c>
      <c r="DC4" s="18">
        <v>3.4299999999999997E-2</v>
      </c>
      <c r="DD4" s="18">
        <v>3.0800000000000001E-2</v>
      </c>
      <c r="DE4" s="18">
        <v>2.87E-2</v>
      </c>
      <c r="DF4" s="18">
        <v>2.8400000000000002E-2</v>
      </c>
      <c r="DG4" s="18">
        <v>2.7699999999999999E-2</v>
      </c>
      <c r="DH4" s="18">
        <v>2.8500000000000001E-2</v>
      </c>
      <c r="DI4" s="18">
        <v>2.8299999999999999E-2</v>
      </c>
      <c r="DJ4" s="18">
        <v>2.76E-2</v>
      </c>
      <c r="DK4" s="18">
        <v>2.7400000000000001E-2</v>
      </c>
      <c r="DL4" s="18">
        <v>2.76E-2</v>
      </c>
      <c r="DM4" s="18">
        <v>2.7799999999999998E-2</v>
      </c>
      <c r="DN4" s="18">
        <v>2.81E-2</v>
      </c>
      <c r="DO4" s="18">
        <v>2.8000000000000001E-2</v>
      </c>
      <c r="DP4" s="18">
        <v>2.8299999999999999E-2</v>
      </c>
      <c r="DQ4" s="18">
        <v>2.7900000000000001E-2</v>
      </c>
      <c r="DR4" s="18">
        <v>2.7799999999999998E-2</v>
      </c>
      <c r="DS4" s="18">
        <v>2.7699999999999999E-2</v>
      </c>
      <c r="DT4" s="18">
        <v>2.7199999999999998E-2</v>
      </c>
      <c r="DU4" s="18">
        <v>2.63E-2</v>
      </c>
      <c r="DV4" s="18">
        <v>2.52E-2</v>
      </c>
      <c r="DW4" s="18">
        <v>2.4199999999999999E-2</v>
      </c>
      <c r="DX4" s="18">
        <v>2.4799999999999999E-2</v>
      </c>
      <c r="DY4" s="18">
        <v>2.3400000000000001E-2</v>
      </c>
      <c r="DZ4" s="18">
        <v>2.2499999999999999E-2</v>
      </c>
      <c r="EA4" s="18">
        <v>2.0799999999999999E-2</v>
      </c>
      <c r="EB4" s="18">
        <v>2.0299999999999999E-2</v>
      </c>
      <c r="EC4" s="18">
        <v>2.0199999999999999E-2</v>
      </c>
      <c r="ED4" s="18">
        <v>1.9900000000000001E-2</v>
      </c>
      <c r="EE4" s="18">
        <v>1.9300000000000001E-2</v>
      </c>
      <c r="EF4" s="18">
        <v>1.9699999999999999E-2</v>
      </c>
      <c r="EG4" s="18">
        <v>1.95E-2</v>
      </c>
      <c r="EH4" s="18">
        <v>1.89E-2</v>
      </c>
      <c r="EI4" s="18">
        <v>1.89E-2</v>
      </c>
      <c r="EJ4" s="18">
        <v>1.8499999999999999E-2</v>
      </c>
      <c r="EK4" s="18">
        <v>1.7999999999999999E-2</v>
      </c>
      <c r="EL4" s="18">
        <v>1.7899999999999999E-2</v>
      </c>
      <c r="EM4" s="18">
        <v>1.77E-2</v>
      </c>
      <c r="EN4" s="18">
        <v>1.8200000000000001E-2</v>
      </c>
      <c r="EO4" s="18">
        <v>1.95E-2</v>
      </c>
      <c r="EP4" s="18">
        <v>1.83E-2</v>
      </c>
      <c r="EQ4" s="18">
        <v>1.84E-2</v>
      </c>
      <c r="ER4" s="18">
        <v>1.8800000000000001E-2</v>
      </c>
      <c r="ES4" s="18">
        <v>1.7899999999999999E-2</v>
      </c>
      <c r="ET4" s="18">
        <v>1.6799999999999999E-2</v>
      </c>
      <c r="EU4" s="18">
        <v>1.6799999999999999E-2</v>
      </c>
      <c r="EV4" s="18">
        <v>1.6500000000000001E-2</v>
      </c>
      <c r="EW4" s="18">
        <v>1.6199999999999999E-2</v>
      </c>
      <c r="EX4" s="18">
        <v>1.6199999999999999E-2</v>
      </c>
      <c r="EY4" s="18">
        <v>1.5800000000000002E-2</v>
      </c>
      <c r="EZ4" s="18">
        <v>1.5299999999999999E-2</v>
      </c>
      <c r="FA4" s="18">
        <v>1.6E-2</v>
      </c>
      <c r="FB4" s="18">
        <v>1.6199999999999999E-2</v>
      </c>
      <c r="FC4" s="18">
        <v>1.61E-2</v>
      </c>
      <c r="FD4" s="18">
        <v>1.7299999999999999E-2</v>
      </c>
      <c r="FE4" s="18">
        <v>1.77E-2</v>
      </c>
      <c r="FF4" s="18">
        <v>1.72E-2</v>
      </c>
      <c r="FG4" s="18">
        <v>1.6799999999999999E-2</v>
      </c>
      <c r="FH4" s="18">
        <v>1.67E-2</v>
      </c>
      <c r="FI4" s="18">
        <v>1.6899999999999998E-2</v>
      </c>
      <c r="FJ4" s="18">
        <v>1.72E-2</v>
      </c>
      <c r="FK4" s="18">
        <v>1.8499999999999999E-2</v>
      </c>
      <c r="FL4" s="18">
        <v>1.8200000000000001E-2</v>
      </c>
      <c r="FM4" s="18">
        <v>1.7500000000000002E-2</v>
      </c>
      <c r="FN4" s="18">
        <v>1.78E-2</v>
      </c>
      <c r="FO4" s="18">
        <v>1.7000000000000001E-2</v>
      </c>
      <c r="FP4" s="18">
        <v>1.7999999999999999E-2</v>
      </c>
      <c r="FQ4" s="18">
        <v>2.29E-2</v>
      </c>
      <c r="FR4" s="18">
        <v>2.2200000000000001E-2</v>
      </c>
      <c r="FS4" s="18">
        <v>2.0500000000000001E-2</v>
      </c>
      <c r="FT4" s="18">
        <v>1.9900000000000001E-2</v>
      </c>
      <c r="FU4" s="18">
        <v>1.9599999999999999E-2</v>
      </c>
      <c r="FV4" s="18">
        <v>1.95E-2</v>
      </c>
      <c r="FW4" s="18">
        <v>1.9099999999999999E-2</v>
      </c>
      <c r="FX4" s="18">
        <v>1.67E-2</v>
      </c>
      <c r="FY4" s="18">
        <v>1.6500000000000001E-2</v>
      </c>
      <c r="FZ4" s="17">
        <v>1.6E-2</v>
      </c>
      <c r="GA4" s="13">
        <v>1.5299999999999999E-2</v>
      </c>
      <c r="GB4" s="13">
        <v>1.5599999999999999E-2</v>
      </c>
      <c r="GC4" s="13">
        <v>1.55E-2</v>
      </c>
      <c r="GD4" s="13">
        <v>1.37E-2</v>
      </c>
      <c r="GE4" s="13">
        <v>1.46E-2</v>
      </c>
      <c r="GF4" s="13">
        <v>1.41E-2</v>
      </c>
      <c r="GG4" s="18">
        <v>1.55E-2</v>
      </c>
      <c r="GH4" s="17">
        <v>1.29E-2</v>
      </c>
      <c r="GI4" s="17">
        <v>8.8000000000000005E-3</v>
      </c>
      <c r="GJ4" s="17">
        <v>6.3E-3</v>
      </c>
      <c r="GK4" s="13">
        <v>5.0000000000000001E-3</v>
      </c>
      <c r="GL4" s="18">
        <v>4.5999999999999999E-3</v>
      </c>
      <c r="GM4" s="18">
        <v>6.7999999999999996E-3</v>
      </c>
      <c r="GN4" s="17">
        <v>5.4999999999999997E-3</v>
      </c>
      <c r="GO4" s="13">
        <v>6.7000000000000002E-3</v>
      </c>
      <c r="GP4" s="13">
        <v>7.4000000000000003E-3</v>
      </c>
      <c r="GQ4" s="13">
        <v>4.4000000000000003E-3</v>
      </c>
      <c r="GR4" s="16">
        <v>3.2000000000000002E-3</v>
      </c>
      <c r="GS4" s="15">
        <v>2.3999999999999998E-3</v>
      </c>
      <c r="GT4" s="14">
        <v>2.0999999999999999E-3</v>
      </c>
      <c r="GU4" s="13">
        <v>2.7000000000000001E-3</v>
      </c>
      <c r="GV4" s="16">
        <v>2.8999999999999998E-3</v>
      </c>
      <c r="GW4" s="15">
        <v>2.5999999999999999E-3</v>
      </c>
      <c r="GX4" s="14">
        <v>2.7000000000000001E-3</v>
      </c>
      <c r="GY4" s="13">
        <v>3.3E-3</v>
      </c>
      <c r="GZ4" s="13">
        <v>4.1999999999999997E-3</v>
      </c>
      <c r="HA4" s="16">
        <v>4.1000000000000003E-3</v>
      </c>
      <c r="HB4" s="16">
        <v>6.4000000000000003E-3</v>
      </c>
      <c r="HC4" s="16">
        <v>9.1000000000000004E-3</v>
      </c>
      <c r="HD4" s="16">
        <v>1.01E-2</v>
      </c>
      <c r="HE4" s="16">
        <v>1.4999999999999999E-2</v>
      </c>
      <c r="HF4" s="16">
        <v>1.89E-2</v>
      </c>
      <c r="HG4" s="16">
        <v>3.2599999999999997E-2</v>
      </c>
      <c r="HH4" s="16">
        <v>4.58E-2</v>
      </c>
      <c r="HI4" s="16">
        <v>5.0099999999999999E-2</v>
      </c>
      <c r="HJ4" s="16">
        <v>5.2200000000000003E-2</v>
      </c>
      <c r="HK4" s="16">
        <v>5.5599999999999997E-2</v>
      </c>
      <c r="HL4" s="14">
        <v>5.91E-2</v>
      </c>
      <c r="HM4" s="14">
        <v>6.1699999999999998E-2</v>
      </c>
      <c r="HN4" s="14">
        <v>6.2700000000000006E-2</v>
      </c>
      <c r="HO4" s="14">
        <v>6.2399999999999997E-2</v>
      </c>
      <c r="HP4" s="14">
        <v>6.1400000000000003E-2</v>
      </c>
      <c r="HQ4" s="14">
        <v>6.0299999999999999E-2</v>
      </c>
      <c r="HR4" s="14">
        <v>5.8299999999999998E-2</v>
      </c>
      <c r="HS4" s="14">
        <v>5.8000000000000003E-2</v>
      </c>
      <c r="HT4" s="14">
        <v>5.5500000000000001E-2</v>
      </c>
      <c r="HU4" s="14">
        <v>5.57E-2</v>
      </c>
      <c r="HV4" s="14">
        <v>5.0500000000000003E-2</v>
      </c>
      <c r="HW4" s="14">
        <v>4.7800000000000002E-2</v>
      </c>
      <c r="HX4" s="14">
        <v>4.4600000000000001E-2</v>
      </c>
      <c r="HY4" s="13">
        <v>4.3900000000000002E-2</v>
      </c>
      <c r="HZ4" s="16">
        <v>4.2999999999999997E-2</v>
      </c>
      <c r="IA4" s="14">
        <v>4.2700000000000002E-2</v>
      </c>
      <c r="IB4" s="14">
        <v>4.2200000000000001E-2</v>
      </c>
      <c r="IC4" s="13">
        <v>4.19E-2</v>
      </c>
      <c r="ID4" s="13">
        <v>4.0800000000000003E-2</v>
      </c>
      <c r="IE4" s="16">
        <v>4.0300000000000002E-2</v>
      </c>
      <c r="IF4" s="15">
        <v>4.07E-2</v>
      </c>
      <c r="IG4" s="15">
        <v>4.0800000000000003E-2</v>
      </c>
      <c r="IH4" s="15">
        <v>3.9699999999999999E-2</v>
      </c>
      <c r="II4" s="16">
        <v>3.9899999999999998E-2</v>
      </c>
      <c r="IJ4" s="16">
        <v>3.95E-2</v>
      </c>
      <c r="IK4" s="16">
        <v>3.9300000000000002E-2</v>
      </c>
      <c r="IL4" s="16">
        <v>3.9199999999999999E-2</v>
      </c>
      <c r="IM4" s="15">
        <v>4.0399999999999998E-2</v>
      </c>
      <c r="IN4" s="14">
        <v>4.0099999999999997E-2</v>
      </c>
      <c r="IO4" s="13">
        <v>4.0399999999999998E-2</v>
      </c>
      <c r="IP4" s="16">
        <v>4.0599999999999997E-2</v>
      </c>
      <c r="IQ4" s="16">
        <v>3.9800000000000002E-2</v>
      </c>
      <c r="IR4" s="15">
        <v>3.8899999999999997E-2</v>
      </c>
      <c r="IS4" s="15">
        <v>3.8699999999999998E-2</v>
      </c>
      <c r="IT4" s="15">
        <v>3.85E-2</v>
      </c>
      <c r="IU4" s="15">
        <v>3.6900000000000002E-2</v>
      </c>
      <c r="IV4" s="16">
        <v>3.61E-2</v>
      </c>
      <c r="IW4" s="16">
        <v>3.5200000000000002E-2</v>
      </c>
      <c r="IX4" s="16">
        <v>3.4500000000000003E-2</v>
      </c>
      <c r="IY4" s="14">
        <v>3.3599999999999998E-2</v>
      </c>
      <c r="IZ4" s="13">
        <v>3.27E-2</v>
      </c>
      <c r="JA4" s="13">
        <v>3.1699999999999999E-2</v>
      </c>
      <c r="JB4" s="13">
        <v>3.04E-2</v>
      </c>
      <c r="JC4" s="15">
        <v>3.0499999999999999E-2</v>
      </c>
      <c r="JD4" s="14">
        <v>3.0499999999999999E-2</v>
      </c>
      <c r="JE4" s="13">
        <v>3.0499999999999999E-2</v>
      </c>
    </row>
    <row r="5" spans="1:265" ht="12.75">
      <c r="A5" s="60"/>
      <c r="B5" s="60"/>
      <c r="C5" s="60"/>
      <c r="D5" s="29" t="s">
        <v>83</v>
      </c>
      <c r="E5" s="20">
        <v>3</v>
      </c>
      <c r="F5" s="19" t="s">
        <v>92</v>
      </c>
      <c r="G5" s="27">
        <v>5.4199999999999998E-2</v>
      </c>
      <c r="H5" s="27">
        <v>5.2999999999999999E-2</v>
      </c>
      <c r="I5" s="27">
        <v>4.8399999999999999E-2</v>
      </c>
      <c r="J5" s="27">
        <v>4.5400000000000003E-2</v>
      </c>
      <c r="K5" s="27">
        <v>4.1599999999999998E-2</v>
      </c>
      <c r="L5" s="27">
        <v>4.2599999999999999E-2</v>
      </c>
      <c r="M5" s="27">
        <v>3.78E-2</v>
      </c>
      <c r="N5" s="27">
        <v>3.5099999999999999E-2</v>
      </c>
      <c r="O5" s="27">
        <v>3.5700000000000003E-2</v>
      </c>
      <c r="P5" s="27">
        <v>3.5400000000000001E-2</v>
      </c>
      <c r="Q5" s="27">
        <v>3.27E-2</v>
      </c>
      <c r="R5" s="27">
        <v>3.3099999999999997E-2</v>
      </c>
      <c r="S5" s="27">
        <v>3.2500000000000001E-2</v>
      </c>
      <c r="T5" s="27">
        <v>2.98E-2</v>
      </c>
      <c r="U5" s="27">
        <v>2.81E-2</v>
      </c>
      <c r="V5" s="27">
        <v>3.0300000000000001E-2</v>
      </c>
      <c r="W5" s="27">
        <v>2.8899999999999999E-2</v>
      </c>
      <c r="X5" s="27">
        <v>2.8500000000000001E-2</v>
      </c>
      <c r="Y5" s="27">
        <v>2.9499999999999998E-2</v>
      </c>
      <c r="Z5" s="27">
        <v>3.0099999999999998E-2</v>
      </c>
      <c r="AA5" s="27">
        <v>3.3099999999999997E-2</v>
      </c>
      <c r="AB5" s="27">
        <v>3.2500000000000001E-2</v>
      </c>
      <c r="AC5" s="27">
        <v>3.0099999999999998E-2</v>
      </c>
      <c r="AD5" s="27">
        <v>3.0599999999999999E-2</v>
      </c>
      <c r="AE5" s="27">
        <v>3.2800000000000003E-2</v>
      </c>
      <c r="AF5" s="27">
        <v>3.4599999999999999E-2</v>
      </c>
      <c r="AG5" s="27">
        <v>3.0800000000000001E-2</v>
      </c>
      <c r="AH5" s="27">
        <v>3.1099999999999999E-2</v>
      </c>
      <c r="AI5" s="27">
        <v>3.1899999999999998E-2</v>
      </c>
      <c r="AJ5" s="27">
        <v>3.2800000000000003E-2</v>
      </c>
      <c r="AK5" s="27">
        <v>3.5999999999999997E-2</v>
      </c>
      <c r="AL5" s="27">
        <v>3.56E-2</v>
      </c>
      <c r="AM5" s="27">
        <v>3.6200000000000003E-2</v>
      </c>
      <c r="AN5" s="27">
        <v>3.8399999999999997E-2</v>
      </c>
      <c r="AO5" s="27">
        <v>4.0399999999999998E-2</v>
      </c>
      <c r="AP5" s="27">
        <v>4.2700000000000002E-2</v>
      </c>
      <c r="AQ5" s="27">
        <v>4.3499999999999997E-2</v>
      </c>
      <c r="AR5" s="27">
        <v>4.6300000000000001E-2</v>
      </c>
      <c r="AS5" s="27">
        <v>4.9299999999999997E-2</v>
      </c>
      <c r="AT5" s="27">
        <v>5.0599999999999999E-2</v>
      </c>
      <c r="AU5" s="27">
        <v>5.2200000000000003E-2</v>
      </c>
      <c r="AV5" s="27">
        <v>5.45E-2</v>
      </c>
      <c r="AW5" s="27">
        <v>5.5500000000000001E-2</v>
      </c>
      <c r="AX5" s="27">
        <v>5.62E-2</v>
      </c>
      <c r="AY5" s="27">
        <v>5.57E-2</v>
      </c>
      <c r="AZ5" s="27">
        <v>6.5500000000000003E-2</v>
      </c>
      <c r="BA5" s="27">
        <v>7.2499999999999995E-2</v>
      </c>
      <c r="BB5" s="27">
        <v>7.1300000000000002E-2</v>
      </c>
      <c r="BC5" s="27">
        <v>6.8599999999999994E-2</v>
      </c>
      <c r="BD5" s="27">
        <v>6.1800000000000001E-2</v>
      </c>
      <c r="BE5" s="27">
        <v>5.6500000000000002E-2</v>
      </c>
      <c r="BF5" s="27">
        <v>5.28E-2</v>
      </c>
      <c r="BG5" s="27">
        <v>5.2600000000000001E-2</v>
      </c>
      <c r="BH5" s="27">
        <v>5.1799999999999999E-2</v>
      </c>
      <c r="BI5" s="27">
        <v>5.21E-2</v>
      </c>
      <c r="BJ5" s="27">
        <v>5.1799999999999999E-2</v>
      </c>
      <c r="BK5" s="27">
        <v>5.0999999999999997E-2</v>
      </c>
      <c r="BL5" s="27">
        <v>5.0700000000000002E-2</v>
      </c>
      <c r="BM5" s="27">
        <v>5.1200000000000002E-2</v>
      </c>
      <c r="BN5" s="27">
        <v>4.9599999999999998E-2</v>
      </c>
      <c r="BO5" s="27">
        <v>4.7500000000000001E-2</v>
      </c>
      <c r="BP5" s="27">
        <v>4.7800000000000002E-2</v>
      </c>
      <c r="BQ5" s="27">
        <v>4.5900000000000003E-2</v>
      </c>
      <c r="BR5" s="27">
        <v>4.5600000000000002E-2</v>
      </c>
      <c r="BS5" s="27">
        <v>4.41E-2</v>
      </c>
      <c r="BT5" s="27">
        <v>4.2500000000000003E-2</v>
      </c>
      <c r="BU5" s="27">
        <v>4.1599999999999998E-2</v>
      </c>
      <c r="BV5" s="27">
        <v>4.19E-2</v>
      </c>
      <c r="BW5" s="27">
        <v>4.1399999999999999E-2</v>
      </c>
      <c r="BX5" s="27">
        <v>4.2099999999999999E-2</v>
      </c>
      <c r="BY5" s="27">
        <v>4.2299999999999997E-2</v>
      </c>
      <c r="BZ5" s="27">
        <v>4.2799999999999998E-2</v>
      </c>
      <c r="CA5" s="27">
        <v>4.24E-2</v>
      </c>
      <c r="CB5" s="27">
        <v>4.3400000000000001E-2</v>
      </c>
      <c r="CC5" s="27">
        <v>4.3400000000000001E-2</v>
      </c>
      <c r="CD5" s="27">
        <v>4.3900000000000002E-2</v>
      </c>
      <c r="CE5" s="27">
        <v>4.3999999999999997E-2</v>
      </c>
      <c r="CF5" s="27">
        <v>4.4200000000000003E-2</v>
      </c>
      <c r="CG5" s="27">
        <v>4.5600000000000002E-2</v>
      </c>
      <c r="CH5" s="27">
        <v>4.7199999999999999E-2</v>
      </c>
      <c r="CI5" s="27">
        <v>4.7100000000000003E-2</v>
      </c>
      <c r="CJ5" s="27">
        <v>4.99E-2</v>
      </c>
      <c r="CK5" s="27">
        <v>4.9299999999999997E-2</v>
      </c>
      <c r="CL5" s="27">
        <v>4.87E-2</v>
      </c>
      <c r="CM5" s="27">
        <v>5.33E-2</v>
      </c>
      <c r="CN5" s="27">
        <v>5.3699999999999998E-2</v>
      </c>
      <c r="CO5" s="27">
        <v>5.11E-2</v>
      </c>
      <c r="CP5" s="27">
        <v>5.04E-2</v>
      </c>
      <c r="CQ5" s="27">
        <v>5.1799999999999999E-2</v>
      </c>
      <c r="CR5" s="27">
        <v>5.4800000000000001E-2</v>
      </c>
      <c r="CS5" s="27">
        <v>5.57E-2</v>
      </c>
      <c r="CT5" s="27">
        <v>5.5E-2</v>
      </c>
      <c r="CU5" s="27">
        <v>5.4399999999999997E-2</v>
      </c>
      <c r="CV5" s="27">
        <v>5.3999999999999999E-2</v>
      </c>
      <c r="CW5" s="27">
        <v>5.0900000000000001E-2</v>
      </c>
      <c r="CX5" s="27">
        <v>4.9599999999999998E-2</v>
      </c>
      <c r="CY5" s="27">
        <v>4.6100000000000002E-2</v>
      </c>
      <c r="CZ5" s="27">
        <v>4.3700000000000003E-2</v>
      </c>
      <c r="DA5" s="27">
        <v>3.6600000000000001E-2</v>
      </c>
      <c r="DB5" s="27">
        <v>3.4000000000000002E-2</v>
      </c>
      <c r="DC5" s="27">
        <v>2.98E-2</v>
      </c>
      <c r="DD5" s="27">
        <v>2.7300000000000001E-2</v>
      </c>
      <c r="DE5" s="27">
        <v>2.58E-2</v>
      </c>
      <c r="DF5" s="27">
        <v>2.4899999999999999E-2</v>
      </c>
      <c r="DG5" s="27">
        <v>2.6599999999999999E-2</v>
      </c>
      <c r="DH5" s="27">
        <v>2.7699999999999999E-2</v>
      </c>
      <c r="DI5" s="27">
        <v>2.8000000000000001E-2</v>
      </c>
      <c r="DJ5" s="27">
        <v>2.7900000000000001E-2</v>
      </c>
      <c r="DK5" s="27">
        <v>2.7699999999999999E-2</v>
      </c>
      <c r="DL5" s="27">
        <v>2.76E-2</v>
      </c>
      <c r="DM5" s="27">
        <v>2.7300000000000001E-2</v>
      </c>
      <c r="DN5" s="27">
        <v>2.7900000000000001E-2</v>
      </c>
      <c r="DO5" s="27">
        <v>2.76E-2</v>
      </c>
      <c r="DP5" s="27">
        <v>2.7300000000000001E-2</v>
      </c>
      <c r="DQ5" s="27">
        <v>2.81E-2</v>
      </c>
      <c r="DR5" s="27">
        <v>3.0499999999999999E-2</v>
      </c>
      <c r="DS5" s="27">
        <v>3.2399999999999998E-2</v>
      </c>
      <c r="DT5" s="27">
        <v>2.7799999999999998E-2</v>
      </c>
      <c r="DU5" s="27">
        <v>2.3800000000000002E-2</v>
      </c>
      <c r="DV5" s="27">
        <v>2.3599999999999999E-2</v>
      </c>
      <c r="DW5" s="27">
        <v>2.23E-2</v>
      </c>
      <c r="DX5" s="27">
        <v>2.1899999999999999E-2</v>
      </c>
      <c r="DY5" s="27">
        <v>2.0799999999999999E-2</v>
      </c>
      <c r="DZ5" s="27">
        <v>1.77E-2</v>
      </c>
      <c r="EA5" s="27">
        <v>1.8200000000000001E-2</v>
      </c>
      <c r="EB5" s="27">
        <v>1.6400000000000001E-2</v>
      </c>
      <c r="EC5" s="27">
        <v>1.72E-2</v>
      </c>
      <c r="ED5" s="27">
        <v>1.7299999999999999E-2</v>
      </c>
      <c r="EE5" s="27">
        <v>1.8200000000000001E-2</v>
      </c>
      <c r="EF5" s="27">
        <v>1.78E-2</v>
      </c>
      <c r="EG5" s="27">
        <v>1.8599999999999998E-2</v>
      </c>
      <c r="EH5" s="27">
        <v>1.8499999999999999E-2</v>
      </c>
      <c r="EI5" s="27">
        <v>1.7899999999999999E-2</v>
      </c>
      <c r="EJ5" s="27">
        <v>1.77E-2</v>
      </c>
      <c r="EK5" s="27">
        <v>1.6500000000000001E-2</v>
      </c>
      <c r="EL5" s="27">
        <v>1.5599999999999999E-2</v>
      </c>
      <c r="EM5" s="27">
        <v>1.5100000000000001E-2</v>
      </c>
      <c r="EN5" s="27">
        <v>1.4999999999999999E-2</v>
      </c>
      <c r="EO5" s="27">
        <v>1.7899999999999999E-2</v>
      </c>
      <c r="EP5" s="27">
        <v>1.6899999999999998E-2</v>
      </c>
      <c r="EQ5" s="27">
        <v>1.7100000000000001E-2</v>
      </c>
      <c r="ER5" s="27">
        <v>1.6799999999999999E-2</v>
      </c>
      <c r="ES5" s="27">
        <v>1.6299999999999999E-2</v>
      </c>
      <c r="ET5" s="27">
        <v>1.6E-2</v>
      </c>
      <c r="EU5" s="27">
        <v>1.6500000000000001E-2</v>
      </c>
      <c r="EV5" s="27">
        <v>1.66E-2</v>
      </c>
      <c r="EW5" s="27">
        <v>1.61E-2</v>
      </c>
      <c r="EX5" s="27">
        <v>1.5900000000000001E-2</v>
      </c>
      <c r="EY5" s="27">
        <v>1.54E-2</v>
      </c>
      <c r="EZ5" s="27">
        <v>1.5699999999999999E-2</v>
      </c>
      <c r="FA5" s="27">
        <v>1.66E-2</v>
      </c>
      <c r="FB5" s="27">
        <v>1.78E-2</v>
      </c>
      <c r="FC5" s="27">
        <v>1.72E-2</v>
      </c>
      <c r="FD5" s="27">
        <v>1.61E-2</v>
      </c>
      <c r="FE5" s="27">
        <v>1.6299999999999999E-2</v>
      </c>
      <c r="FF5" s="27">
        <v>1.6500000000000001E-2</v>
      </c>
      <c r="FG5" s="27">
        <v>1.9400000000000001E-2</v>
      </c>
      <c r="FH5" s="27">
        <v>1.8700000000000001E-2</v>
      </c>
      <c r="FI5" s="27">
        <v>1.8100000000000002E-2</v>
      </c>
      <c r="FJ5" s="27">
        <v>1.78E-2</v>
      </c>
      <c r="FK5" s="27">
        <v>1.89E-2</v>
      </c>
      <c r="FL5" s="27">
        <v>1.8200000000000001E-2</v>
      </c>
      <c r="FM5" s="27">
        <v>1.8499999999999999E-2</v>
      </c>
      <c r="FN5" s="27">
        <v>1.78E-2</v>
      </c>
      <c r="FO5" s="27">
        <v>1.7000000000000001E-2</v>
      </c>
      <c r="FP5" s="27">
        <v>1.7500000000000002E-2</v>
      </c>
      <c r="FQ5" s="27">
        <v>1.8100000000000002E-2</v>
      </c>
      <c r="FR5" s="27">
        <v>2.23E-2</v>
      </c>
      <c r="FS5" s="27">
        <v>2.1899999999999999E-2</v>
      </c>
      <c r="FT5" s="27">
        <v>2.1000000000000001E-2</v>
      </c>
      <c r="FU5" s="27">
        <v>1.6799999999999999E-2</v>
      </c>
      <c r="FV5" s="27">
        <v>1.6E-2</v>
      </c>
      <c r="FW5" s="27">
        <v>1.4999999999999999E-2</v>
      </c>
      <c r="FX5" s="27">
        <v>1.4200000000000001E-2</v>
      </c>
      <c r="FY5" s="27">
        <v>1.44E-2</v>
      </c>
      <c r="FZ5" s="26">
        <v>1.37E-2</v>
      </c>
      <c r="GA5" s="22">
        <v>1.44E-2</v>
      </c>
      <c r="GB5" s="22">
        <v>1.44E-2</v>
      </c>
      <c r="GC5" s="22">
        <v>1.37E-2</v>
      </c>
      <c r="GD5" s="22">
        <v>1.3599999999999999E-2</v>
      </c>
      <c r="GE5" s="22">
        <v>1.3599999999999999E-2</v>
      </c>
      <c r="GF5" s="22">
        <v>1.3299999999999999E-2</v>
      </c>
      <c r="GG5" s="27">
        <v>1.18E-2</v>
      </c>
      <c r="GH5" s="26">
        <v>8.0000000000000002E-3</v>
      </c>
      <c r="GI5" s="26">
        <v>5.5999999999999999E-3</v>
      </c>
      <c r="GJ5" s="26">
        <v>3.7000000000000002E-3</v>
      </c>
      <c r="GK5" s="22">
        <v>3.0999999999999999E-3</v>
      </c>
      <c r="GL5" s="27">
        <v>2.3E-3</v>
      </c>
      <c r="GM5" s="27">
        <v>4.5999999999999999E-3</v>
      </c>
      <c r="GN5" s="26">
        <v>4.4000000000000003E-3</v>
      </c>
      <c r="GO5" s="22">
        <v>1.8E-3</v>
      </c>
      <c r="GP5" s="22">
        <v>2.0999999999999999E-3</v>
      </c>
      <c r="GQ5" s="22">
        <v>2.5999999999999999E-3</v>
      </c>
      <c r="GR5" s="25">
        <v>2.5999999999999999E-3</v>
      </c>
      <c r="GS5" s="24">
        <v>2.0999999999999999E-3</v>
      </c>
      <c r="GT5" s="23">
        <v>1.8E-3</v>
      </c>
      <c r="GU5" s="22">
        <v>1.5E-3</v>
      </c>
      <c r="GV5" s="25">
        <v>1.2999999999999999E-3</v>
      </c>
      <c r="GW5" s="24">
        <v>2E-3</v>
      </c>
      <c r="GX5" s="23">
        <v>1.8E-3</v>
      </c>
      <c r="GY5" s="22">
        <v>3.2000000000000002E-3</v>
      </c>
      <c r="GZ5" s="22">
        <v>2.8999999999999998E-3</v>
      </c>
      <c r="HA5" s="25">
        <v>5.8999999999999999E-3</v>
      </c>
      <c r="HB5" s="25">
        <v>9.1000000000000004E-3</v>
      </c>
      <c r="HC5" s="25">
        <v>1.15E-2</v>
      </c>
      <c r="HD5" s="25">
        <v>1.4999999999999999E-2</v>
      </c>
      <c r="HE5" s="25">
        <v>1.72E-2</v>
      </c>
      <c r="HF5" s="25">
        <v>2.4299999999999999E-2</v>
      </c>
      <c r="HG5" s="25">
        <v>3.7499999999999999E-2</v>
      </c>
      <c r="HH5" s="25">
        <v>4.7500000000000001E-2</v>
      </c>
      <c r="HI5" s="25">
        <v>5.4600000000000003E-2</v>
      </c>
      <c r="HJ5" s="25">
        <v>5.8999999999999997E-2</v>
      </c>
      <c r="HK5" s="25">
        <v>6.1699999999999998E-2</v>
      </c>
      <c r="HL5" s="23">
        <v>5.9799999999999999E-2</v>
      </c>
      <c r="HM5" s="23">
        <v>6.1199999999999997E-2</v>
      </c>
      <c r="HN5" s="23">
        <v>6.3600000000000004E-2</v>
      </c>
      <c r="HO5" s="23">
        <v>6.3899999999999998E-2</v>
      </c>
      <c r="HP5" s="23">
        <v>5.8500000000000003E-2</v>
      </c>
      <c r="HQ5" s="23">
        <v>5.8200000000000002E-2</v>
      </c>
      <c r="HR5" s="23">
        <v>6.0100000000000001E-2</v>
      </c>
      <c r="HS5" s="23">
        <v>5.9700000000000003E-2</v>
      </c>
      <c r="HT5" s="23">
        <v>6.6699999999999995E-2</v>
      </c>
      <c r="HU5" s="23">
        <v>5.8099999999999999E-2</v>
      </c>
      <c r="HV5" s="23">
        <v>5.7000000000000002E-2</v>
      </c>
      <c r="HW5" s="23">
        <v>5.3900000000000003E-2</v>
      </c>
      <c r="HX5" s="23">
        <v>5.1200000000000002E-2</v>
      </c>
      <c r="HY5" s="22">
        <v>5.0200000000000002E-2</v>
      </c>
      <c r="HZ5" s="25">
        <v>4.8000000000000001E-2</v>
      </c>
      <c r="IA5" s="23">
        <v>4.82E-2</v>
      </c>
      <c r="IB5" s="23">
        <v>4.7300000000000002E-2</v>
      </c>
      <c r="IC5" s="22">
        <v>4.48E-2</v>
      </c>
      <c r="ID5" s="22">
        <v>4.5999999999999999E-2</v>
      </c>
      <c r="IE5" s="25">
        <v>4.48E-2</v>
      </c>
      <c r="IF5" s="24">
        <v>4.3799999999999999E-2</v>
      </c>
      <c r="IG5" s="24">
        <v>4.3999999999999997E-2</v>
      </c>
      <c r="IH5" s="24">
        <v>4.3900000000000002E-2</v>
      </c>
      <c r="II5" s="25">
        <v>4.2500000000000003E-2</v>
      </c>
      <c r="IJ5" s="25">
        <v>4.2700000000000002E-2</v>
      </c>
      <c r="IK5" s="25">
        <v>4.2299999999999997E-2</v>
      </c>
      <c r="IL5" s="25">
        <v>4.2900000000000001E-2</v>
      </c>
      <c r="IM5" s="24">
        <v>4.3099999999999999E-2</v>
      </c>
      <c r="IN5" s="23">
        <v>4.3099999999999999E-2</v>
      </c>
      <c r="IO5" s="22">
        <v>4.3200000000000002E-2</v>
      </c>
      <c r="IP5" s="25">
        <v>4.2700000000000002E-2</v>
      </c>
      <c r="IQ5" s="25">
        <v>4.1799999999999997E-2</v>
      </c>
      <c r="IR5" s="24">
        <v>3.95E-2</v>
      </c>
      <c r="IS5" s="24">
        <v>3.9399999999999998E-2</v>
      </c>
      <c r="IT5" s="24">
        <v>3.7999999999999999E-2</v>
      </c>
      <c r="IU5" s="24">
        <v>3.6600000000000001E-2</v>
      </c>
      <c r="IV5" s="25">
        <v>3.6299999999999999E-2</v>
      </c>
      <c r="IW5" s="25">
        <v>3.6700000000000003E-2</v>
      </c>
      <c r="IX5" s="25">
        <v>3.4799999999999998E-2</v>
      </c>
      <c r="IY5" s="23">
        <v>3.4299999999999997E-2</v>
      </c>
      <c r="IZ5" s="22">
        <v>3.4299999999999997E-2</v>
      </c>
      <c r="JA5" s="22">
        <v>2.98E-2</v>
      </c>
      <c r="JB5" s="22">
        <v>3.1699999999999999E-2</v>
      </c>
      <c r="JC5" s="24">
        <v>2.87E-2</v>
      </c>
      <c r="JD5" s="23">
        <v>2.98E-2</v>
      </c>
      <c r="JE5" s="22">
        <v>3.09E-2</v>
      </c>
    </row>
    <row r="6" spans="1:265" ht="12.75">
      <c r="A6" s="60"/>
      <c r="B6" s="60"/>
      <c r="C6" s="60"/>
      <c r="D6" s="29" t="s">
        <v>81</v>
      </c>
      <c r="E6" s="20">
        <v>4</v>
      </c>
      <c r="F6" s="19" t="s">
        <v>91</v>
      </c>
      <c r="G6" s="18">
        <v>5.1900000000000002E-2</v>
      </c>
      <c r="H6" s="18">
        <v>4.8000000000000001E-2</v>
      </c>
      <c r="I6" s="18">
        <v>4.9799999999999997E-2</v>
      </c>
      <c r="J6" s="18">
        <v>3.2099999999999997E-2</v>
      </c>
      <c r="K6" s="18">
        <v>3.9600000000000003E-2</v>
      </c>
      <c r="L6" s="18">
        <v>3.9600000000000003E-2</v>
      </c>
      <c r="M6" s="18">
        <v>3.6600000000000001E-2</v>
      </c>
      <c r="N6" s="18">
        <v>4.0599999999999997E-2</v>
      </c>
      <c r="O6" s="18">
        <v>3.6700000000000003E-2</v>
      </c>
      <c r="P6" s="18">
        <v>3.2000000000000001E-2</v>
      </c>
      <c r="Q6" s="18">
        <v>3.27E-2</v>
      </c>
      <c r="R6" s="18">
        <v>3.6700000000000003E-2</v>
      </c>
      <c r="S6" s="18">
        <v>3.6999999999999998E-2</v>
      </c>
      <c r="T6" s="18">
        <v>3.1199999999999999E-2</v>
      </c>
      <c r="U6" s="18">
        <v>3.1399999999999997E-2</v>
      </c>
      <c r="V6" s="18">
        <v>3.6600000000000001E-2</v>
      </c>
      <c r="W6" s="18">
        <v>3.3799999999999997E-2</v>
      </c>
      <c r="X6" s="18">
        <v>3.2300000000000002E-2</v>
      </c>
      <c r="Y6" s="18">
        <v>3.3300000000000003E-2</v>
      </c>
      <c r="Z6" s="18">
        <v>2.9100000000000001E-2</v>
      </c>
      <c r="AA6" s="18">
        <v>3.1E-2</v>
      </c>
      <c r="AB6" s="18">
        <v>3.4500000000000003E-2</v>
      </c>
      <c r="AC6" s="18">
        <v>3.3099999999999997E-2</v>
      </c>
      <c r="AD6" s="18">
        <v>3.2599999999999997E-2</v>
      </c>
      <c r="AE6" s="18">
        <v>3.5400000000000001E-2</v>
      </c>
      <c r="AF6" s="18">
        <v>3.3399999999999999E-2</v>
      </c>
      <c r="AG6" s="18">
        <v>3.85E-2</v>
      </c>
      <c r="AH6" s="18">
        <v>3.2000000000000001E-2</v>
      </c>
      <c r="AI6" s="18">
        <v>3.1600000000000003E-2</v>
      </c>
      <c r="AJ6" s="18">
        <v>3.2800000000000003E-2</v>
      </c>
      <c r="AK6" s="18">
        <v>3.5999999999999997E-2</v>
      </c>
      <c r="AL6" s="18">
        <v>3.6299999999999999E-2</v>
      </c>
      <c r="AM6" s="18">
        <v>3.9E-2</v>
      </c>
      <c r="AN6" s="18">
        <v>3.7699999999999997E-2</v>
      </c>
      <c r="AO6" s="18">
        <v>3.5900000000000001E-2</v>
      </c>
      <c r="AP6" s="18">
        <v>3.7400000000000003E-2</v>
      </c>
      <c r="AQ6" s="18">
        <v>3.8199999999999998E-2</v>
      </c>
      <c r="AR6" s="18">
        <v>5.2699999999999997E-2</v>
      </c>
      <c r="AS6" s="18">
        <v>4.5100000000000001E-2</v>
      </c>
      <c r="AT6" s="18">
        <v>4.6300000000000001E-2</v>
      </c>
      <c r="AU6" s="18">
        <v>5.1499999999999997E-2</v>
      </c>
      <c r="AV6" s="18">
        <v>5.2400000000000002E-2</v>
      </c>
      <c r="AW6" s="18">
        <v>4.9099999999999998E-2</v>
      </c>
      <c r="AX6" s="18">
        <v>4.9599999999999998E-2</v>
      </c>
      <c r="AY6" s="18">
        <v>4.9299999999999997E-2</v>
      </c>
      <c r="AZ6" s="18">
        <v>5.8500000000000003E-2</v>
      </c>
      <c r="BA6" s="18">
        <v>6.2600000000000003E-2</v>
      </c>
      <c r="BB6" s="18">
        <v>6.9599999999999995E-2</v>
      </c>
      <c r="BC6" s="18">
        <v>5.8900000000000001E-2</v>
      </c>
      <c r="BD6" s="18">
        <v>5.3800000000000001E-2</v>
      </c>
      <c r="BE6" s="18">
        <v>5.2299999999999999E-2</v>
      </c>
      <c r="BF6" s="18">
        <v>4.7E-2</v>
      </c>
      <c r="BG6" s="18">
        <v>4.7800000000000002E-2</v>
      </c>
      <c r="BH6" s="18">
        <v>5.0099999999999999E-2</v>
      </c>
      <c r="BI6" s="18">
        <v>4.8800000000000003E-2</v>
      </c>
      <c r="BJ6" s="18">
        <v>5.0500000000000003E-2</v>
      </c>
      <c r="BK6" s="18">
        <v>4.7E-2</v>
      </c>
      <c r="BL6" s="18">
        <v>4.7E-2</v>
      </c>
      <c r="BM6" s="18">
        <v>4.6199999999999998E-2</v>
      </c>
      <c r="BN6" s="18">
        <v>4.58E-2</v>
      </c>
      <c r="BO6" s="18">
        <v>4.2500000000000003E-2</v>
      </c>
      <c r="BP6" s="18">
        <v>4.3099999999999999E-2</v>
      </c>
      <c r="BQ6" s="18">
        <v>4.3900000000000002E-2</v>
      </c>
      <c r="BR6" s="18">
        <v>4.3999999999999997E-2</v>
      </c>
      <c r="BS6" s="18">
        <v>4.3799999999999999E-2</v>
      </c>
      <c r="BT6" s="18">
        <v>4.3900000000000002E-2</v>
      </c>
      <c r="BU6" s="18">
        <v>4.2500000000000003E-2</v>
      </c>
      <c r="BV6" s="18">
        <v>4.2500000000000003E-2</v>
      </c>
      <c r="BW6" s="18">
        <v>4.19E-2</v>
      </c>
      <c r="BX6" s="18">
        <v>4.1599999999999998E-2</v>
      </c>
      <c r="BY6" s="18">
        <v>4.19E-2</v>
      </c>
      <c r="BZ6" s="18">
        <v>4.1500000000000002E-2</v>
      </c>
      <c r="CA6" s="18">
        <v>4.02E-2</v>
      </c>
      <c r="CB6" s="18">
        <v>4.0899999999999999E-2</v>
      </c>
      <c r="CC6" s="18">
        <v>4.2200000000000001E-2</v>
      </c>
      <c r="CD6" s="18">
        <v>4.1799999999999997E-2</v>
      </c>
      <c r="CE6" s="18">
        <v>4.1599999999999998E-2</v>
      </c>
      <c r="CF6" s="18">
        <v>4.2200000000000001E-2</v>
      </c>
      <c r="CG6" s="18">
        <v>4.2200000000000001E-2</v>
      </c>
      <c r="CH6" s="18">
        <v>4.36E-2</v>
      </c>
      <c r="CI6" s="18">
        <v>4.3999999999999997E-2</v>
      </c>
      <c r="CJ6" s="18">
        <v>4.3799999999999999E-2</v>
      </c>
      <c r="CK6" s="18">
        <v>4.36E-2</v>
      </c>
      <c r="CL6" s="18">
        <v>4.4499999999999998E-2</v>
      </c>
      <c r="CM6" s="18">
        <v>4.0300000000000002E-2</v>
      </c>
      <c r="CN6" s="18">
        <v>0.04</v>
      </c>
      <c r="CO6" s="18">
        <v>4.2099999999999999E-2</v>
      </c>
      <c r="CP6" s="18">
        <v>4.1799999999999997E-2</v>
      </c>
      <c r="CQ6" s="18">
        <v>4.3799999999999999E-2</v>
      </c>
      <c r="CR6" s="18">
        <v>4.9399999999999999E-2</v>
      </c>
      <c r="CS6" s="18">
        <v>4.9799999999999997E-2</v>
      </c>
      <c r="CT6" s="18">
        <v>4.9099999999999998E-2</v>
      </c>
      <c r="CU6" s="18">
        <v>4.9399999999999999E-2</v>
      </c>
      <c r="CV6" s="18">
        <v>4.9000000000000002E-2</v>
      </c>
      <c r="CW6" s="18">
        <v>4.4999999999999998E-2</v>
      </c>
      <c r="CX6" s="18">
        <v>4.3299999999999998E-2</v>
      </c>
      <c r="CY6" s="18">
        <v>4.0599999999999997E-2</v>
      </c>
      <c r="CZ6" s="18">
        <v>3.8399999999999997E-2</v>
      </c>
      <c r="DA6" s="18">
        <v>3.5299999999999998E-2</v>
      </c>
      <c r="DB6" s="18">
        <v>3.2599999999999997E-2</v>
      </c>
      <c r="DC6" s="18">
        <v>0.03</v>
      </c>
      <c r="DD6" s="18">
        <v>2.53E-2</v>
      </c>
      <c r="DE6" s="18">
        <v>2.47E-2</v>
      </c>
      <c r="DF6" s="18">
        <v>2.3099999999999999E-2</v>
      </c>
      <c r="DG6" s="18">
        <v>2.46E-2</v>
      </c>
      <c r="DH6" s="18">
        <v>2.3900000000000001E-2</v>
      </c>
      <c r="DI6" s="18">
        <v>2.63E-2</v>
      </c>
      <c r="DJ6" s="18">
        <v>2.76E-2</v>
      </c>
      <c r="DK6" s="18">
        <v>2.5700000000000001E-2</v>
      </c>
      <c r="DL6" s="18">
        <v>2.5600000000000001E-2</v>
      </c>
      <c r="DM6" s="18">
        <v>2.6499999999999999E-2</v>
      </c>
      <c r="DN6" s="18">
        <v>2.7900000000000001E-2</v>
      </c>
      <c r="DO6" s="18">
        <v>2.8000000000000001E-2</v>
      </c>
      <c r="DP6" s="18">
        <v>2.7900000000000001E-2</v>
      </c>
      <c r="DQ6" s="18">
        <v>2.8299999999999999E-2</v>
      </c>
      <c r="DR6" s="18">
        <v>2.8000000000000001E-2</v>
      </c>
      <c r="DS6" s="18">
        <v>2.7199999999999998E-2</v>
      </c>
      <c r="DT6" s="18">
        <v>2.3900000000000001E-2</v>
      </c>
      <c r="DU6" s="18">
        <v>2.1299999999999999E-2</v>
      </c>
      <c r="DV6" s="18">
        <v>0.02</v>
      </c>
      <c r="DW6" s="18">
        <v>2.2800000000000001E-2</v>
      </c>
      <c r="DX6" s="18">
        <v>2.4299999999999999E-2</v>
      </c>
      <c r="DY6" s="18">
        <v>2.12E-2</v>
      </c>
      <c r="DZ6" s="18">
        <v>1.8599999999999998E-2</v>
      </c>
      <c r="EA6" s="18">
        <v>1.8200000000000001E-2</v>
      </c>
      <c r="EB6" s="18">
        <v>2.0299999999999999E-2</v>
      </c>
      <c r="EC6" s="18">
        <v>1.95E-2</v>
      </c>
      <c r="ED6" s="18">
        <v>1.89E-2</v>
      </c>
      <c r="EE6" s="18">
        <v>1.7000000000000001E-2</v>
      </c>
      <c r="EF6" s="18">
        <v>1.9099999999999999E-2</v>
      </c>
      <c r="EG6" s="18">
        <v>1.9199999999999998E-2</v>
      </c>
      <c r="EH6" s="18">
        <v>1.9199999999999998E-2</v>
      </c>
      <c r="EI6" s="18">
        <v>1.8499999999999999E-2</v>
      </c>
      <c r="EJ6" s="18">
        <v>1.83E-2</v>
      </c>
      <c r="EK6" s="18">
        <v>1.7899999999999999E-2</v>
      </c>
      <c r="EL6" s="18">
        <v>1.78E-2</v>
      </c>
      <c r="EM6" s="18">
        <v>1.77E-2</v>
      </c>
      <c r="EN6" s="18">
        <v>1.7399999999999999E-2</v>
      </c>
      <c r="EO6" s="18">
        <v>1.7999999999999999E-2</v>
      </c>
      <c r="EP6" s="18">
        <v>1.78E-2</v>
      </c>
      <c r="EQ6" s="18">
        <v>1.78E-2</v>
      </c>
      <c r="ER6" s="18">
        <v>1.7899999999999999E-2</v>
      </c>
      <c r="ES6" s="18">
        <v>1.7000000000000001E-2</v>
      </c>
      <c r="ET6" s="18">
        <v>1.6500000000000001E-2</v>
      </c>
      <c r="EU6" s="18">
        <v>1.6500000000000001E-2</v>
      </c>
      <c r="EV6" s="18">
        <v>1.6199999999999999E-2</v>
      </c>
      <c r="EW6" s="18">
        <v>1.6E-2</v>
      </c>
      <c r="EX6" s="18">
        <v>1.6199999999999999E-2</v>
      </c>
      <c r="EY6" s="18">
        <v>1.5800000000000002E-2</v>
      </c>
      <c r="EZ6" s="18">
        <v>1.5599999999999999E-2</v>
      </c>
      <c r="FA6" s="18">
        <v>1.61E-2</v>
      </c>
      <c r="FB6" s="18">
        <v>1.66E-2</v>
      </c>
      <c r="FC6" s="18">
        <v>1.6400000000000001E-2</v>
      </c>
      <c r="FD6" s="18">
        <v>1.66E-2</v>
      </c>
      <c r="FE6" s="18">
        <v>1.67E-2</v>
      </c>
      <c r="FF6" s="18">
        <v>1.6500000000000001E-2</v>
      </c>
      <c r="FG6" s="18">
        <v>1.6400000000000001E-2</v>
      </c>
      <c r="FH6" s="18">
        <v>1.6500000000000001E-2</v>
      </c>
      <c r="FI6" s="18">
        <v>1.72E-2</v>
      </c>
      <c r="FJ6" s="18">
        <v>1.7100000000000001E-2</v>
      </c>
      <c r="FK6" s="18">
        <v>1.7299999999999999E-2</v>
      </c>
      <c r="FL6" s="18">
        <v>1.7500000000000002E-2</v>
      </c>
      <c r="FM6" s="18">
        <v>1.7399999999999999E-2</v>
      </c>
      <c r="FN6" s="18">
        <v>1.7100000000000001E-2</v>
      </c>
      <c r="FO6" s="18">
        <v>1.6799999999999999E-2</v>
      </c>
      <c r="FP6" s="18">
        <v>1.6500000000000001E-2</v>
      </c>
      <c r="FQ6" s="18">
        <v>1.66E-2</v>
      </c>
      <c r="FR6" s="18">
        <v>1.6199999999999999E-2</v>
      </c>
      <c r="FS6" s="18">
        <v>1.66E-2</v>
      </c>
      <c r="FT6" s="18">
        <v>1.6899999999999998E-2</v>
      </c>
      <c r="FU6" s="18">
        <v>1.6199999999999999E-2</v>
      </c>
      <c r="FV6" s="18">
        <v>1.7100000000000001E-2</v>
      </c>
      <c r="FW6" s="18">
        <v>1.6299999999999999E-2</v>
      </c>
      <c r="FX6" s="18">
        <v>1.61E-2</v>
      </c>
      <c r="FY6" s="18">
        <v>1.5900000000000001E-2</v>
      </c>
      <c r="FZ6" s="17">
        <v>1.52E-2</v>
      </c>
      <c r="GA6" s="13">
        <v>1.54E-2</v>
      </c>
      <c r="GB6" s="13">
        <v>1.5299999999999999E-2</v>
      </c>
      <c r="GC6" s="13">
        <v>1.4800000000000001E-2</v>
      </c>
      <c r="GD6" s="13">
        <v>1.49E-2</v>
      </c>
      <c r="GE6" s="13">
        <v>1.46E-2</v>
      </c>
      <c r="GF6" s="13">
        <v>1.41E-2</v>
      </c>
      <c r="GG6" s="18">
        <v>1.24E-2</v>
      </c>
      <c r="GH6" s="17">
        <v>7.7999999999999996E-3</v>
      </c>
      <c r="GI6" s="17">
        <v>4.1000000000000003E-3</v>
      </c>
      <c r="GJ6" s="17">
        <v>2.5999999999999999E-3</v>
      </c>
      <c r="GK6" s="13">
        <v>2E-3</v>
      </c>
      <c r="GL6" s="18">
        <v>1.4E-3</v>
      </c>
      <c r="GM6" s="18">
        <v>1.6000000000000001E-3</v>
      </c>
      <c r="GN6" s="17">
        <v>1.5E-3</v>
      </c>
      <c r="GO6" s="13">
        <v>1.6999999999999999E-3</v>
      </c>
      <c r="GP6" s="13">
        <v>1.6000000000000001E-3</v>
      </c>
      <c r="GQ6" s="13">
        <v>1.6000000000000001E-3</v>
      </c>
      <c r="GR6" s="16">
        <v>1.4E-3</v>
      </c>
      <c r="GS6" s="15">
        <v>1.4E-3</v>
      </c>
      <c r="GT6" s="14">
        <v>1.6000000000000001E-3</v>
      </c>
      <c r="GU6" s="13">
        <v>1.4E-3</v>
      </c>
      <c r="GV6" s="16">
        <v>1.1999999999999999E-3</v>
      </c>
      <c r="GW6" s="15">
        <v>1.2999999999999999E-3</v>
      </c>
      <c r="GX6" s="14">
        <v>1.2999999999999999E-3</v>
      </c>
      <c r="GY6" s="13">
        <v>1.6999999999999999E-3</v>
      </c>
      <c r="GZ6" s="13">
        <v>2.3999999999999998E-3</v>
      </c>
      <c r="HA6" s="16">
        <v>7.7999999999999996E-3</v>
      </c>
      <c r="HB6" s="16">
        <v>1.2699999999999999E-2</v>
      </c>
      <c r="HC6" s="16">
        <v>1.7100000000000001E-2</v>
      </c>
      <c r="HD6" s="16">
        <v>1.89E-2</v>
      </c>
      <c r="HE6" s="16">
        <v>1.8499999999999999E-2</v>
      </c>
      <c r="HF6" s="16">
        <v>2.5100000000000001E-2</v>
      </c>
      <c r="HG6" s="16">
        <v>3.56E-2</v>
      </c>
      <c r="HH6" s="16">
        <v>4.6300000000000001E-2</v>
      </c>
      <c r="HI6" s="16">
        <v>5.1900000000000002E-2</v>
      </c>
      <c r="HJ6" s="16">
        <v>5.7700000000000001E-2</v>
      </c>
      <c r="HK6" s="16">
        <v>6.2799999999999995E-2</v>
      </c>
      <c r="HL6" s="14">
        <v>6.4299999999999996E-2</v>
      </c>
      <c r="HM6" s="14">
        <v>6.7799999999999999E-2</v>
      </c>
      <c r="HN6" s="14">
        <v>6.54E-2</v>
      </c>
      <c r="HO6" s="14">
        <v>6.3600000000000004E-2</v>
      </c>
      <c r="HP6" s="14">
        <v>6.1199999999999997E-2</v>
      </c>
      <c r="HQ6" s="14">
        <v>5.8900000000000001E-2</v>
      </c>
      <c r="HR6" s="14">
        <v>5.74E-2</v>
      </c>
      <c r="HS6" s="14">
        <v>5.7099999999999998E-2</v>
      </c>
      <c r="HT6" s="14">
        <v>5.8000000000000003E-2</v>
      </c>
      <c r="HU6" s="14">
        <v>5.8599999999999999E-2</v>
      </c>
      <c r="HV6" s="14">
        <v>5.7500000000000002E-2</v>
      </c>
      <c r="HW6" s="14">
        <v>5.4100000000000002E-2</v>
      </c>
      <c r="HX6" s="14">
        <v>4.9700000000000001E-2</v>
      </c>
      <c r="HY6" s="13">
        <v>4.6600000000000003E-2</v>
      </c>
      <c r="HZ6" s="16">
        <v>4.5699999999999998E-2</v>
      </c>
      <c r="IA6" s="14">
        <v>4.2999999999999997E-2</v>
      </c>
      <c r="IB6" s="14">
        <v>4.3400000000000001E-2</v>
      </c>
      <c r="IC6" s="13">
        <v>4.3099999999999999E-2</v>
      </c>
      <c r="ID6" s="13">
        <v>4.0800000000000003E-2</v>
      </c>
      <c r="IE6" s="16">
        <v>4.2900000000000001E-2</v>
      </c>
      <c r="IF6" s="15">
        <v>4.0599999999999997E-2</v>
      </c>
      <c r="IG6" s="15">
        <v>4.2700000000000002E-2</v>
      </c>
      <c r="IH6" s="15">
        <v>4.1799999999999997E-2</v>
      </c>
      <c r="II6" s="16">
        <v>4.1700000000000001E-2</v>
      </c>
      <c r="IJ6" s="16">
        <v>4.0800000000000003E-2</v>
      </c>
      <c r="IK6" s="16">
        <v>4.0500000000000001E-2</v>
      </c>
      <c r="IL6" s="16">
        <v>3.9300000000000002E-2</v>
      </c>
      <c r="IM6" s="15">
        <v>4.02E-2</v>
      </c>
      <c r="IN6" s="14">
        <v>4.0300000000000002E-2</v>
      </c>
      <c r="IO6" s="13">
        <v>3.8600000000000002E-2</v>
      </c>
      <c r="IP6" s="16">
        <v>3.8800000000000001E-2</v>
      </c>
      <c r="IQ6" s="16">
        <v>3.5099999999999999E-2</v>
      </c>
      <c r="IR6" s="15">
        <v>3.4299999999999997E-2</v>
      </c>
      <c r="IS6" s="15">
        <v>3.5000000000000003E-2</v>
      </c>
      <c r="IT6" s="15">
        <v>3.39E-2</v>
      </c>
      <c r="IU6" s="15">
        <v>3.5099999999999999E-2</v>
      </c>
      <c r="IV6" s="16">
        <v>3.5499999999999997E-2</v>
      </c>
      <c r="IW6" s="16">
        <v>3.2599999999999997E-2</v>
      </c>
      <c r="IX6" s="16">
        <v>3.1099999999999999E-2</v>
      </c>
      <c r="IY6" s="14">
        <v>3.0800000000000001E-2</v>
      </c>
      <c r="IZ6" s="13">
        <v>2.8500000000000001E-2</v>
      </c>
      <c r="JA6" s="13">
        <v>2.9100000000000001E-2</v>
      </c>
      <c r="JB6" s="13">
        <v>2.8199999999999999E-2</v>
      </c>
      <c r="JC6" s="15">
        <v>0.03</v>
      </c>
      <c r="JD6" s="14">
        <v>2.81E-2</v>
      </c>
      <c r="JE6" s="13">
        <v>3.0300000000000001E-2</v>
      </c>
    </row>
    <row r="7" spans="1:265" ht="12.75">
      <c r="A7" s="60"/>
      <c r="B7" s="60"/>
      <c r="C7" s="60"/>
      <c r="D7" s="29" t="s">
        <v>79</v>
      </c>
      <c r="E7" s="20">
        <v>5</v>
      </c>
      <c r="F7" s="19" t="s">
        <v>90</v>
      </c>
      <c r="G7" s="27">
        <v>5.2900000000000003E-2</v>
      </c>
      <c r="H7" s="27">
        <v>5.2200000000000003E-2</v>
      </c>
      <c r="I7" s="27">
        <v>4.7899999999999998E-2</v>
      </c>
      <c r="J7" s="27">
        <v>4.99E-2</v>
      </c>
      <c r="K7" s="27">
        <v>4.6300000000000001E-2</v>
      </c>
      <c r="L7" s="27">
        <v>4.1300000000000003E-2</v>
      </c>
      <c r="M7" s="27">
        <v>3.9600000000000003E-2</v>
      </c>
      <c r="N7" s="27">
        <v>3.3500000000000002E-2</v>
      </c>
      <c r="O7" s="27">
        <v>3.6400000000000002E-2</v>
      </c>
      <c r="P7" s="27">
        <v>3.9899999999999998E-2</v>
      </c>
      <c r="Q7" s="27">
        <v>4.9599999999999998E-2</v>
      </c>
      <c r="R7" s="27">
        <v>5.2600000000000001E-2</v>
      </c>
      <c r="S7" s="27">
        <v>4.5999999999999999E-2</v>
      </c>
      <c r="T7" s="27">
        <v>4.07E-2</v>
      </c>
      <c r="U7" s="27">
        <v>4.1399999999999999E-2</v>
      </c>
      <c r="V7" s="27">
        <v>3.9800000000000002E-2</v>
      </c>
      <c r="W7" s="27">
        <v>3.3500000000000002E-2</v>
      </c>
      <c r="X7" s="27">
        <v>3.7400000000000003E-2</v>
      </c>
      <c r="Y7" s="27">
        <v>3.5000000000000003E-2</v>
      </c>
      <c r="Z7" s="27">
        <v>3.1099999999999999E-2</v>
      </c>
      <c r="AA7" s="27">
        <v>3.3399999999999999E-2</v>
      </c>
      <c r="AB7" s="27">
        <v>1.6199999999999999E-2</v>
      </c>
      <c r="AC7" s="27">
        <v>3.0599999999999999E-2</v>
      </c>
      <c r="AD7" s="27">
        <v>2.86E-2</v>
      </c>
      <c r="AE7" s="27">
        <v>3.1600000000000003E-2</v>
      </c>
      <c r="AF7" s="27">
        <v>2.4299999999999999E-2</v>
      </c>
      <c r="AG7" s="27">
        <v>3.32E-2</v>
      </c>
      <c r="AH7" s="27">
        <v>3.2500000000000001E-2</v>
      </c>
      <c r="AI7" s="27">
        <v>3.8199999999999998E-2</v>
      </c>
      <c r="AJ7" s="27">
        <v>3.2800000000000003E-2</v>
      </c>
      <c r="AK7" s="27">
        <v>3.2000000000000001E-2</v>
      </c>
      <c r="AL7" s="27">
        <v>3.5799999999999998E-2</v>
      </c>
      <c r="AM7" s="27">
        <v>4.4900000000000002E-2</v>
      </c>
      <c r="AN7" s="27">
        <v>2.8000000000000001E-2</v>
      </c>
      <c r="AO7" s="27">
        <v>3.6400000000000002E-2</v>
      </c>
      <c r="AP7" s="27">
        <v>4.0300000000000002E-2</v>
      </c>
      <c r="AQ7" s="27">
        <v>4.4499999999999998E-2</v>
      </c>
      <c r="AR7" s="27">
        <v>3.7699999999999997E-2</v>
      </c>
      <c r="AS7" s="27">
        <v>0.03</v>
      </c>
      <c r="AT7" s="27">
        <v>2.3800000000000002E-2</v>
      </c>
      <c r="AU7" s="27">
        <v>1.4999999999999999E-2</v>
      </c>
      <c r="AV7" s="27">
        <v>1.83E-2</v>
      </c>
      <c r="AW7" s="27">
        <v>2.41E-2</v>
      </c>
      <c r="AX7" s="27">
        <v>2.07E-2</v>
      </c>
      <c r="AY7" s="27">
        <v>6.6000000000000003E-2</v>
      </c>
      <c r="AZ7" s="27">
        <v>6.83E-2</v>
      </c>
      <c r="BA7" s="27">
        <v>6.8099999999999994E-2</v>
      </c>
      <c r="BB7" s="27">
        <v>6.7799999999999999E-2</v>
      </c>
      <c r="BC7" s="27">
        <v>7.1900000000000006E-2</v>
      </c>
      <c r="BD7" s="27">
        <v>5.2200000000000003E-2</v>
      </c>
      <c r="BE7" s="27">
        <v>3.9699999999999999E-2</v>
      </c>
      <c r="BF7" s="27">
        <v>3.4299999999999997E-2</v>
      </c>
      <c r="BG7" s="27">
        <v>3.0499999999999999E-2</v>
      </c>
      <c r="BH7" s="27">
        <v>3.0800000000000001E-2</v>
      </c>
      <c r="BI7" s="27">
        <v>3.32E-2</v>
      </c>
      <c r="BJ7" s="27">
        <v>3.6200000000000003E-2</v>
      </c>
      <c r="BK7" s="27">
        <v>3.9899999999999998E-2</v>
      </c>
      <c r="BL7" s="27">
        <v>4.53E-2</v>
      </c>
      <c r="BM7" s="27">
        <v>4.5400000000000003E-2</v>
      </c>
      <c r="BN7" s="27">
        <v>3.6799999999999999E-2</v>
      </c>
      <c r="BO7" s="27">
        <v>4.0500000000000001E-2</v>
      </c>
      <c r="BP7" s="27">
        <v>4.3700000000000003E-2</v>
      </c>
      <c r="BQ7" s="27">
        <v>4.7100000000000003E-2</v>
      </c>
      <c r="BR7" s="27">
        <v>4.5900000000000003E-2</v>
      </c>
      <c r="BS7" s="27">
        <v>4.5199999999999997E-2</v>
      </c>
      <c r="BT7" s="27">
        <v>4.4600000000000001E-2</v>
      </c>
      <c r="BU7" s="27">
        <v>3.9600000000000003E-2</v>
      </c>
      <c r="BV7" s="27">
        <v>3.8600000000000002E-2</v>
      </c>
      <c r="BW7" s="27">
        <v>3.9E-2</v>
      </c>
      <c r="BX7" s="27">
        <v>3.1300000000000001E-2</v>
      </c>
      <c r="BY7" s="27">
        <v>3.9300000000000002E-2</v>
      </c>
      <c r="BZ7" s="27">
        <v>4.2500000000000003E-2</v>
      </c>
      <c r="CA7" s="27">
        <v>3.9399999999999998E-2</v>
      </c>
      <c r="CB7" s="27">
        <v>4.1599999999999998E-2</v>
      </c>
      <c r="CC7" s="27">
        <v>4.4400000000000002E-2</v>
      </c>
      <c r="CD7" s="27">
        <v>4.0800000000000003E-2</v>
      </c>
      <c r="CE7" s="27">
        <v>4.1700000000000001E-2</v>
      </c>
      <c r="CF7" s="27">
        <v>4.36E-2</v>
      </c>
      <c r="CG7" s="27">
        <v>4.2999999999999997E-2</v>
      </c>
      <c r="CH7" s="27">
        <v>4.2200000000000001E-2</v>
      </c>
      <c r="CI7" s="27">
        <v>4.2700000000000002E-2</v>
      </c>
      <c r="CJ7" s="27">
        <v>4.3499999999999997E-2</v>
      </c>
      <c r="CK7" s="27">
        <v>4.2299999999999997E-2</v>
      </c>
      <c r="CL7" s="27">
        <v>4.3499999999999997E-2</v>
      </c>
      <c r="CM7" s="27">
        <v>4.1599999999999998E-2</v>
      </c>
      <c r="CN7" s="27">
        <v>4.2900000000000001E-2</v>
      </c>
      <c r="CO7" s="27">
        <v>4.53E-2</v>
      </c>
      <c r="CP7" s="27">
        <v>4.8399999999999999E-2</v>
      </c>
      <c r="CQ7" s="27">
        <v>0.05</v>
      </c>
      <c r="CR7" s="27">
        <v>5.0900000000000001E-2</v>
      </c>
      <c r="CS7" s="27">
        <v>5.3400000000000003E-2</v>
      </c>
      <c r="CT7" s="27">
        <v>4.65E-2</v>
      </c>
      <c r="CU7" s="27">
        <v>4.6600000000000003E-2</v>
      </c>
      <c r="CV7" s="27">
        <v>4.3499999999999997E-2</v>
      </c>
      <c r="CW7" s="27">
        <v>4.8500000000000001E-2</v>
      </c>
      <c r="CX7" s="27">
        <v>4.2299999999999997E-2</v>
      </c>
      <c r="CY7" s="27">
        <v>4.24E-2</v>
      </c>
      <c r="CZ7" s="27">
        <v>3.9199999999999999E-2</v>
      </c>
      <c r="DA7" s="27">
        <v>3.5299999999999998E-2</v>
      </c>
      <c r="DB7" s="27" t="s">
        <v>25</v>
      </c>
      <c r="DC7" s="27" t="s">
        <v>25</v>
      </c>
      <c r="DD7" s="27">
        <v>2.86E-2</v>
      </c>
      <c r="DE7" s="27" t="s">
        <v>25</v>
      </c>
      <c r="DF7" s="27">
        <v>2.41E-2</v>
      </c>
      <c r="DG7" s="27">
        <v>2.5999999999999999E-2</v>
      </c>
      <c r="DH7" s="27">
        <v>2.5399999999999999E-2</v>
      </c>
      <c r="DI7" s="27">
        <v>2.58E-2</v>
      </c>
      <c r="DJ7" s="27">
        <v>2.7300000000000001E-2</v>
      </c>
      <c r="DK7" s="27" t="s">
        <v>25</v>
      </c>
      <c r="DL7" s="27" t="s">
        <v>25</v>
      </c>
      <c r="DM7" s="27" t="s">
        <v>25</v>
      </c>
      <c r="DN7" s="27" t="s">
        <v>25</v>
      </c>
      <c r="DO7" s="27" t="s">
        <v>25</v>
      </c>
      <c r="DP7" s="27" t="s">
        <v>25</v>
      </c>
      <c r="DQ7" s="27" t="s">
        <v>25</v>
      </c>
      <c r="DR7" s="27">
        <v>2.46E-2</v>
      </c>
      <c r="DS7" s="27">
        <v>2.4299999999999999E-2</v>
      </c>
      <c r="DT7" s="27">
        <v>2.29E-2</v>
      </c>
      <c r="DU7" s="27">
        <v>2.0299999999999999E-2</v>
      </c>
      <c r="DV7" s="27">
        <v>2.2800000000000001E-2</v>
      </c>
      <c r="DW7" s="27">
        <v>2.1899999999999999E-2</v>
      </c>
      <c r="DX7" s="27">
        <v>2.3199999999999998E-2</v>
      </c>
      <c r="DY7" s="27">
        <v>2.2499999999999999E-2</v>
      </c>
      <c r="DZ7" s="27">
        <v>1.67E-2</v>
      </c>
      <c r="EA7" s="27">
        <v>1.7600000000000001E-2</v>
      </c>
      <c r="EB7" s="27">
        <v>1.6799999999999999E-2</v>
      </c>
      <c r="EC7" s="27">
        <v>1.7100000000000001E-2</v>
      </c>
      <c r="ED7" s="27">
        <v>1.7299999999999999E-2</v>
      </c>
      <c r="EE7" s="27">
        <v>1.77E-2</v>
      </c>
      <c r="EF7" s="27">
        <v>1.7600000000000001E-2</v>
      </c>
      <c r="EG7" s="27">
        <v>1.7399999999999999E-2</v>
      </c>
      <c r="EH7" s="27">
        <v>1.7899999999999999E-2</v>
      </c>
      <c r="EI7" s="27">
        <v>1.7000000000000001E-2</v>
      </c>
      <c r="EJ7" s="27">
        <v>1.7000000000000001E-2</v>
      </c>
      <c r="EK7" s="27">
        <v>1.46E-2</v>
      </c>
      <c r="EL7" s="27">
        <v>1.35E-2</v>
      </c>
      <c r="EM7" s="27">
        <v>1.3599999999999999E-2</v>
      </c>
      <c r="EN7" s="27">
        <v>1.1900000000000001E-2</v>
      </c>
      <c r="EO7" s="27">
        <v>1.46E-2</v>
      </c>
      <c r="EP7" s="27">
        <v>1.2800000000000001E-2</v>
      </c>
      <c r="EQ7" s="27">
        <v>1.54E-2</v>
      </c>
      <c r="ER7" s="27">
        <v>1.29E-2</v>
      </c>
      <c r="ES7" s="27">
        <v>1.41E-2</v>
      </c>
      <c r="ET7" s="27">
        <v>1.66E-2</v>
      </c>
      <c r="EU7" s="27">
        <v>1.3100000000000001E-2</v>
      </c>
      <c r="EV7" s="27">
        <v>1.6799999999999999E-2</v>
      </c>
      <c r="EW7" s="27">
        <v>1.61E-2</v>
      </c>
      <c r="EX7" s="27">
        <v>1.5100000000000001E-2</v>
      </c>
      <c r="EY7" s="27">
        <v>1.4200000000000001E-2</v>
      </c>
      <c r="EZ7" s="27">
        <v>1.34E-2</v>
      </c>
      <c r="FA7" s="27">
        <v>1.18E-2</v>
      </c>
      <c r="FB7" s="27">
        <v>1.26E-2</v>
      </c>
      <c r="FC7" s="27">
        <v>1.43E-2</v>
      </c>
      <c r="FD7" s="27">
        <v>1.2E-2</v>
      </c>
      <c r="FE7" s="27">
        <v>1.1900000000000001E-2</v>
      </c>
      <c r="FF7" s="27">
        <v>1.49E-2</v>
      </c>
      <c r="FG7" s="27">
        <v>1.41E-2</v>
      </c>
      <c r="FH7" s="27">
        <v>1.41E-2</v>
      </c>
      <c r="FI7" s="27">
        <v>1.49E-2</v>
      </c>
      <c r="FJ7" s="27">
        <v>1.67E-2</v>
      </c>
      <c r="FK7" s="27">
        <v>1.8499999999999999E-2</v>
      </c>
      <c r="FL7" s="27">
        <v>1.83E-2</v>
      </c>
      <c r="FM7" s="27">
        <v>1.72E-2</v>
      </c>
      <c r="FN7" s="27">
        <v>1.5800000000000002E-2</v>
      </c>
      <c r="FO7" s="27">
        <v>1.6500000000000001E-2</v>
      </c>
      <c r="FP7" s="27">
        <v>1.6199999999999999E-2</v>
      </c>
      <c r="FQ7" s="27">
        <v>1.6E-2</v>
      </c>
      <c r="FR7" s="27">
        <v>1.7399999999999999E-2</v>
      </c>
      <c r="FS7" s="27">
        <v>1.2999999999999999E-2</v>
      </c>
      <c r="FT7" s="27">
        <v>1.55E-2</v>
      </c>
      <c r="FU7" s="27">
        <v>1.72E-2</v>
      </c>
      <c r="FV7" s="27">
        <v>1.54E-2</v>
      </c>
      <c r="FW7" s="27">
        <v>1.5800000000000002E-2</v>
      </c>
      <c r="FX7" s="27">
        <v>1.6899999999999998E-2</v>
      </c>
      <c r="FY7" s="27">
        <v>1.6199999999999999E-2</v>
      </c>
      <c r="FZ7" s="26">
        <v>1.7600000000000001E-2</v>
      </c>
      <c r="GA7" s="22">
        <v>1.6400000000000001E-2</v>
      </c>
      <c r="GB7" s="22">
        <v>1.5800000000000002E-2</v>
      </c>
      <c r="GC7" s="22">
        <v>1.5699999999999999E-2</v>
      </c>
      <c r="GD7" s="22">
        <v>1.46E-2</v>
      </c>
      <c r="GE7" s="22">
        <v>1.29E-2</v>
      </c>
      <c r="GF7" s="22">
        <v>1.3599999999999999E-2</v>
      </c>
      <c r="GG7" s="27">
        <v>1.34E-2</v>
      </c>
      <c r="GH7" s="26">
        <v>7.9000000000000008E-3</v>
      </c>
      <c r="GI7" s="26">
        <v>3.8E-3</v>
      </c>
      <c r="GJ7" s="26">
        <v>2.7000000000000001E-3</v>
      </c>
      <c r="GK7" s="22">
        <v>1.5E-3</v>
      </c>
      <c r="GL7" s="27">
        <v>8.9999999999999998E-4</v>
      </c>
      <c r="GM7" s="27">
        <v>1.8E-3</v>
      </c>
      <c r="GN7" s="26">
        <v>1.6999999999999999E-3</v>
      </c>
      <c r="GO7" s="22">
        <v>2.8E-3</v>
      </c>
      <c r="GP7" s="22">
        <v>3.0999999999999999E-3</v>
      </c>
      <c r="GQ7" s="22" t="s">
        <v>25</v>
      </c>
      <c r="GR7" s="25">
        <v>2.8999999999999998E-3</v>
      </c>
      <c r="GS7" s="24">
        <v>2.8999999999999998E-3</v>
      </c>
      <c r="GT7" s="23">
        <v>1.4E-3</v>
      </c>
      <c r="GU7" s="22">
        <v>1.4E-3</v>
      </c>
      <c r="GV7" s="25">
        <v>8.9999999999999998E-4</v>
      </c>
      <c r="GW7" s="24">
        <v>2.8999999999999998E-3</v>
      </c>
      <c r="GX7" s="23">
        <v>2.8999999999999998E-3</v>
      </c>
      <c r="GY7" s="22">
        <v>3.2000000000000002E-3</v>
      </c>
      <c r="GZ7" s="22">
        <v>4.4999999999999997E-3</v>
      </c>
      <c r="HA7" s="25">
        <v>3.3E-3</v>
      </c>
      <c r="HB7" s="25" t="s">
        <v>25</v>
      </c>
      <c r="HC7" s="25">
        <v>2.1600000000000001E-2</v>
      </c>
      <c r="HD7" s="25">
        <v>1.0699999999999999E-2</v>
      </c>
      <c r="HE7" s="25">
        <v>2.3699999999999999E-2</v>
      </c>
      <c r="HF7" s="25">
        <v>1.8499999999999999E-2</v>
      </c>
      <c r="HG7" s="25">
        <v>4.3700000000000003E-2</v>
      </c>
      <c r="HH7" s="25">
        <v>5.3800000000000001E-2</v>
      </c>
      <c r="HI7" s="25" t="s">
        <v>25</v>
      </c>
      <c r="HJ7" s="25">
        <v>3.5999999999999997E-2</v>
      </c>
      <c r="HK7" s="25" t="s">
        <v>25</v>
      </c>
      <c r="HL7" s="23" t="s">
        <v>25</v>
      </c>
      <c r="HM7" s="23" t="s">
        <v>25</v>
      </c>
      <c r="HN7" s="23" t="s">
        <v>25</v>
      </c>
      <c r="HO7" s="23" t="s">
        <v>25</v>
      </c>
      <c r="HP7" s="23">
        <v>4.2000000000000003E-2</v>
      </c>
      <c r="HQ7" s="23">
        <v>5.4600000000000003E-2</v>
      </c>
      <c r="HR7" s="23">
        <v>4.9099999999999998E-2</v>
      </c>
      <c r="HS7" s="23">
        <v>4.9299999999999997E-2</v>
      </c>
      <c r="HT7" s="23">
        <v>5.0599999999999999E-2</v>
      </c>
      <c r="HU7" s="23">
        <v>4.9399999999999999E-2</v>
      </c>
      <c r="HV7" s="23">
        <v>5.0200000000000002E-2</v>
      </c>
      <c r="HW7" s="23">
        <v>4.6800000000000001E-2</v>
      </c>
      <c r="HX7" s="23">
        <v>3.8600000000000002E-2</v>
      </c>
      <c r="HY7" s="22">
        <v>3.7499999999999999E-2</v>
      </c>
      <c r="HZ7" s="25">
        <v>4.0800000000000003E-2</v>
      </c>
      <c r="IA7" s="23">
        <v>4.1300000000000003E-2</v>
      </c>
      <c r="IB7" s="23">
        <v>2.69E-2</v>
      </c>
      <c r="IC7" s="22">
        <v>2.7E-2</v>
      </c>
      <c r="ID7" s="22">
        <v>2.4199999999999999E-2</v>
      </c>
      <c r="IE7" s="25">
        <v>3.2300000000000002E-2</v>
      </c>
      <c r="IF7" s="24">
        <v>2.8299999999999999E-2</v>
      </c>
      <c r="IG7" s="24">
        <v>2.7699999999999999E-2</v>
      </c>
      <c r="IH7" s="24">
        <v>2.7400000000000001E-2</v>
      </c>
      <c r="II7" s="25">
        <v>3.1E-2</v>
      </c>
      <c r="IJ7" s="25" t="s">
        <v>25</v>
      </c>
      <c r="IK7" s="25" t="s">
        <v>25</v>
      </c>
      <c r="IL7" s="25">
        <v>2.7300000000000001E-2</v>
      </c>
      <c r="IM7" s="24">
        <v>3.1399999999999997E-2</v>
      </c>
      <c r="IN7" s="23">
        <v>3.5099999999999999E-2</v>
      </c>
      <c r="IO7" s="22">
        <v>2.9700000000000001E-2</v>
      </c>
      <c r="IP7" s="25" t="s">
        <v>25</v>
      </c>
      <c r="IQ7" s="25">
        <v>3.2500000000000001E-2</v>
      </c>
      <c r="IR7" s="24">
        <v>3.0700000000000002E-2</v>
      </c>
      <c r="IS7" s="24" t="s">
        <v>25</v>
      </c>
      <c r="IT7" s="24">
        <v>3.1300000000000001E-2</v>
      </c>
      <c r="IU7" s="24">
        <v>2.7799999999999998E-2</v>
      </c>
      <c r="IV7" s="25" t="s">
        <v>25</v>
      </c>
      <c r="IW7" s="25">
        <v>2.4799999999999999E-2</v>
      </c>
      <c r="IX7" s="25">
        <v>2.6599999999999999E-2</v>
      </c>
      <c r="IY7" s="23">
        <v>2.52E-2</v>
      </c>
      <c r="IZ7" s="22">
        <v>2.2700000000000001E-2</v>
      </c>
      <c r="JA7" s="22" t="s">
        <v>25</v>
      </c>
      <c r="JB7" s="22" t="s">
        <v>25</v>
      </c>
      <c r="JC7" s="24">
        <v>1.9E-2</v>
      </c>
      <c r="JD7" s="23">
        <v>1.9199999999999998E-2</v>
      </c>
      <c r="JE7" s="22">
        <v>2.7699999999999999E-2</v>
      </c>
    </row>
    <row r="8" spans="1:265" ht="12.75">
      <c r="A8" s="60"/>
      <c r="B8" s="60"/>
      <c r="C8" s="60"/>
      <c r="D8" s="21" t="s">
        <v>19</v>
      </c>
      <c r="E8" s="20">
        <v>6</v>
      </c>
      <c r="F8" s="19" t="s">
        <v>89</v>
      </c>
      <c r="G8" s="18">
        <v>5.2999999999999999E-2</v>
      </c>
      <c r="H8" s="18">
        <v>5.1799999999999999E-2</v>
      </c>
      <c r="I8" s="18">
        <v>5.11E-2</v>
      </c>
      <c r="J8" s="18">
        <v>4.7699999999999999E-2</v>
      </c>
      <c r="K8" s="18">
        <v>4.4699999999999997E-2</v>
      </c>
      <c r="L8" s="18">
        <v>4.3299999999999998E-2</v>
      </c>
      <c r="M8" s="18">
        <v>3.9899999999999998E-2</v>
      </c>
      <c r="N8" s="18">
        <v>3.8800000000000001E-2</v>
      </c>
      <c r="O8" s="18">
        <v>3.73E-2</v>
      </c>
      <c r="P8" s="18">
        <v>3.6200000000000003E-2</v>
      </c>
      <c r="Q8" s="18">
        <v>3.6600000000000001E-2</v>
      </c>
      <c r="R8" s="18">
        <v>3.5999999999999997E-2</v>
      </c>
      <c r="S8" s="18">
        <v>3.6400000000000002E-2</v>
      </c>
      <c r="T8" s="18">
        <v>3.5099999999999999E-2</v>
      </c>
      <c r="U8" s="18">
        <v>3.2800000000000003E-2</v>
      </c>
      <c r="V8" s="18">
        <v>3.3500000000000002E-2</v>
      </c>
      <c r="W8" s="18">
        <v>3.27E-2</v>
      </c>
      <c r="X8" s="18">
        <v>3.3399999999999999E-2</v>
      </c>
      <c r="Y8" s="18">
        <v>3.3500000000000002E-2</v>
      </c>
      <c r="Z8" s="18">
        <v>3.32E-2</v>
      </c>
      <c r="AA8" s="18">
        <v>3.3099999999999997E-2</v>
      </c>
      <c r="AB8" s="18">
        <v>3.3799999999999997E-2</v>
      </c>
      <c r="AC8" s="18">
        <v>3.3500000000000002E-2</v>
      </c>
      <c r="AD8" s="18">
        <v>3.3099999999999997E-2</v>
      </c>
      <c r="AE8" s="18">
        <v>3.3700000000000001E-2</v>
      </c>
      <c r="AF8" s="18">
        <v>3.39E-2</v>
      </c>
      <c r="AG8" s="18">
        <v>3.4000000000000002E-2</v>
      </c>
      <c r="AH8" s="18">
        <v>3.3799999999999997E-2</v>
      </c>
      <c r="AI8" s="18">
        <v>3.5099999999999999E-2</v>
      </c>
      <c r="AJ8" s="18">
        <v>3.5799999999999998E-2</v>
      </c>
      <c r="AK8" s="18">
        <v>3.78E-2</v>
      </c>
      <c r="AL8" s="18">
        <v>3.8199999999999998E-2</v>
      </c>
      <c r="AM8" s="18">
        <v>3.95E-2</v>
      </c>
      <c r="AN8" s="18">
        <v>4.0300000000000002E-2</v>
      </c>
      <c r="AO8" s="18">
        <v>4.0599999999999997E-2</v>
      </c>
      <c r="AP8" s="18">
        <v>4.1599999999999998E-2</v>
      </c>
      <c r="AQ8" s="18">
        <v>4.3099999999999999E-2</v>
      </c>
      <c r="AR8" s="18">
        <v>4.6899999999999997E-2</v>
      </c>
      <c r="AS8" s="18">
        <v>4.8899999999999999E-2</v>
      </c>
      <c r="AT8" s="18">
        <v>5.0999999999999997E-2</v>
      </c>
      <c r="AU8" s="18">
        <v>5.0999999999999997E-2</v>
      </c>
      <c r="AV8" s="18">
        <v>5.2299999999999999E-2</v>
      </c>
      <c r="AW8" s="18">
        <v>5.2200000000000003E-2</v>
      </c>
      <c r="AX8" s="18">
        <v>5.3900000000000003E-2</v>
      </c>
      <c r="AY8" s="18">
        <v>5.8200000000000002E-2</v>
      </c>
      <c r="AZ8" s="18">
        <v>6.1100000000000002E-2</v>
      </c>
      <c r="BA8" s="18">
        <v>6.2300000000000001E-2</v>
      </c>
      <c r="BB8" s="18">
        <v>6.5199999999999994E-2</v>
      </c>
      <c r="BC8" s="18">
        <v>6.1499999999999999E-2</v>
      </c>
      <c r="BD8" s="18">
        <v>5.3900000000000003E-2</v>
      </c>
      <c r="BE8" s="18">
        <v>4.9599999999999998E-2</v>
      </c>
      <c r="BF8" s="18">
        <v>4.4900000000000002E-2</v>
      </c>
      <c r="BG8" s="18">
        <v>4.48E-2</v>
      </c>
      <c r="BH8" s="18">
        <v>4.3999999999999997E-2</v>
      </c>
      <c r="BI8" s="18">
        <v>4.3099999999999999E-2</v>
      </c>
      <c r="BJ8" s="18">
        <v>4.24E-2</v>
      </c>
      <c r="BK8" s="18">
        <v>4.24E-2</v>
      </c>
      <c r="BL8" s="18">
        <v>4.2500000000000003E-2</v>
      </c>
      <c r="BM8" s="18">
        <v>4.2099999999999999E-2</v>
      </c>
      <c r="BN8" s="18">
        <v>4.0300000000000002E-2</v>
      </c>
      <c r="BO8" s="18">
        <v>3.9100000000000003E-2</v>
      </c>
      <c r="BP8" s="18">
        <v>3.8100000000000002E-2</v>
      </c>
      <c r="BQ8" s="18">
        <v>3.9E-2</v>
      </c>
      <c r="BR8" s="18">
        <v>3.9E-2</v>
      </c>
      <c r="BS8" s="18">
        <v>3.8100000000000002E-2</v>
      </c>
      <c r="BT8" s="18">
        <v>3.6799999999999999E-2</v>
      </c>
      <c r="BU8" s="18">
        <v>3.5900000000000001E-2</v>
      </c>
      <c r="BV8" s="18">
        <v>3.5200000000000002E-2</v>
      </c>
      <c r="BW8" s="18">
        <v>3.5400000000000001E-2</v>
      </c>
      <c r="BX8" s="18">
        <v>3.5299999999999998E-2</v>
      </c>
      <c r="BY8" s="18">
        <v>3.5700000000000003E-2</v>
      </c>
      <c r="BZ8" s="18">
        <v>3.56E-2</v>
      </c>
      <c r="CA8" s="18">
        <v>3.56E-2</v>
      </c>
      <c r="CB8" s="18">
        <v>3.6499999999999998E-2</v>
      </c>
      <c r="CC8" s="18">
        <v>3.7699999999999997E-2</v>
      </c>
      <c r="CD8" s="18">
        <v>3.7699999999999997E-2</v>
      </c>
      <c r="CE8" s="18">
        <v>3.8399999999999997E-2</v>
      </c>
      <c r="CF8" s="18">
        <v>4.1099999999999998E-2</v>
      </c>
      <c r="CG8" s="18">
        <v>4.24E-2</v>
      </c>
      <c r="CH8" s="18">
        <v>4.3299999999999998E-2</v>
      </c>
      <c r="CI8" s="18">
        <v>4.36E-2</v>
      </c>
      <c r="CJ8" s="18">
        <v>4.4699999999999997E-2</v>
      </c>
      <c r="CK8" s="18">
        <v>4.6300000000000001E-2</v>
      </c>
      <c r="CL8" s="18">
        <v>4.7300000000000002E-2</v>
      </c>
      <c r="CM8" s="18">
        <v>4.7699999999999999E-2</v>
      </c>
      <c r="CN8" s="18">
        <v>4.6600000000000003E-2</v>
      </c>
      <c r="CO8" s="18">
        <v>4.58E-2</v>
      </c>
      <c r="CP8" s="18">
        <v>4.58E-2</v>
      </c>
      <c r="CQ8" s="18">
        <v>4.6800000000000001E-2</v>
      </c>
      <c r="CR8" s="18">
        <v>4.9399999999999999E-2</v>
      </c>
      <c r="CS8" s="18">
        <v>4.9200000000000001E-2</v>
      </c>
      <c r="CT8" s="18">
        <v>4.82E-2</v>
      </c>
      <c r="CU8" s="18">
        <v>4.7800000000000002E-2</v>
      </c>
      <c r="CV8" s="18">
        <v>4.7699999999999999E-2</v>
      </c>
      <c r="CW8" s="18">
        <v>4.4900000000000002E-2</v>
      </c>
      <c r="CX8" s="18">
        <v>4.2200000000000001E-2</v>
      </c>
      <c r="CY8" s="18">
        <v>3.9600000000000003E-2</v>
      </c>
      <c r="CZ8" s="18">
        <v>3.7499999999999999E-2</v>
      </c>
      <c r="DA8" s="18">
        <v>3.3399999999999999E-2</v>
      </c>
      <c r="DB8" s="18">
        <v>3.1E-2</v>
      </c>
      <c r="DC8" s="18">
        <v>2.81E-2</v>
      </c>
      <c r="DD8" s="18">
        <v>2.5600000000000001E-2</v>
      </c>
      <c r="DE8" s="18">
        <v>2.47E-2</v>
      </c>
      <c r="DF8" s="18">
        <v>2.4199999999999999E-2</v>
      </c>
      <c r="DG8" s="18">
        <v>2.5000000000000001E-2</v>
      </c>
      <c r="DH8" s="18">
        <v>2.5499999999999998E-2</v>
      </c>
      <c r="DI8" s="18">
        <v>2.5600000000000001E-2</v>
      </c>
      <c r="DJ8" s="18">
        <v>2.5899999999999999E-2</v>
      </c>
      <c r="DK8" s="18">
        <v>2.5499999999999998E-2</v>
      </c>
      <c r="DL8" s="18">
        <v>2.58E-2</v>
      </c>
      <c r="DM8" s="18">
        <v>2.6100000000000002E-2</v>
      </c>
      <c r="DN8" s="18">
        <v>2.64E-2</v>
      </c>
      <c r="DO8" s="18">
        <v>2.63E-2</v>
      </c>
      <c r="DP8" s="18">
        <v>2.6200000000000001E-2</v>
      </c>
      <c r="DQ8" s="18">
        <v>2.63E-2</v>
      </c>
      <c r="DR8" s="18">
        <v>2.7E-2</v>
      </c>
      <c r="DS8" s="18">
        <v>2.7799999999999998E-2</v>
      </c>
      <c r="DT8" s="18">
        <v>2.5000000000000001E-2</v>
      </c>
      <c r="DU8" s="18">
        <v>2.23E-2</v>
      </c>
      <c r="DV8" s="18">
        <v>2.3099999999999999E-2</v>
      </c>
      <c r="DW8" s="18">
        <v>2.2499999999999999E-2</v>
      </c>
      <c r="DX8" s="18">
        <v>2.2700000000000001E-2</v>
      </c>
      <c r="DY8" s="18">
        <v>2.0899999999999998E-2</v>
      </c>
      <c r="DZ8" s="18">
        <v>1.9099999999999999E-2</v>
      </c>
      <c r="EA8" s="18">
        <v>1.78E-2</v>
      </c>
      <c r="EB8" s="18">
        <v>1.7399999999999999E-2</v>
      </c>
      <c r="EC8" s="18">
        <v>1.77E-2</v>
      </c>
      <c r="ED8" s="18">
        <v>1.7500000000000002E-2</v>
      </c>
      <c r="EE8" s="18">
        <v>1.7399999999999999E-2</v>
      </c>
      <c r="EF8" s="18">
        <v>1.7500000000000002E-2</v>
      </c>
      <c r="EG8" s="18">
        <v>1.77E-2</v>
      </c>
      <c r="EH8" s="18">
        <v>1.7600000000000001E-2</v>
      </c>
      <c r="EI8" s="18">
        <v>1.7100000000000001E-2</v>
      </c>
      <c r="EJ8" s="18">
        <v>1.67E-2</v>
      </c>
      <c r="EK8" s="18">
        <v>1.61E-2</v>
      </c>
      <c r="EL8" s="18">
        <v>1.5699999999999999E-2</v>
      </c>
      <c r="EM8" s="18">
        <v>1.5299999999999999E-2</v>
      </c>
      <c r="EN8" s="18">
        <v>1.52E-2</v>
      </c>
      <c r="EO8" s="18">
        <v>1.6799999999999999E-2</v>
      </c>
      <c r="EP8" s="18">
        <v>1.61E-2</v>
      </c>
      <c r="EQ8" s="18">
        <v>1.6299999999999999E-2</v>
      </c>
      <c r="ER8" s="18">
        <v>1.6199999999999999E-2</v>
      </c>
      <c r="ES8" s="18">
        <v>1.5599999999999999E-2</v>
      </c>
      <c r="ET8" s="18">
        <v>1.49E-2</v>
      </c>
      <c r="EU8" s="18">
        <v>1.4999999999999999E-2</v>
      </c>
      <c r="EV8" s="18">
        <v>1.4999999999999999E-2</v>
      </c>
      <c r="EW8" s="18">
        <v>1.47E-2</v>
      </c>
      <c r="EX8" s="18">
        <v>1.44E-2</v>
      </c>
      <c r="EY8" s="18">
        <v>1.4E-2</v>
      </c>
      <c r="EZ8" s="18">
        <v>1.38E-2</v>
      </c>
      <c r="FA8" s="18">
        <v>1.44E-2</v>
      </c>
      <c r="FB8" s="18">
        <v>1.49E-2</v>
      </c>
      <c r="FC8" s="18">
        <v>1.46E-2</v>
      </c>
      <c r="FD8" s="18">
        <v>1.49E-2</v>
      </c>
      <c r="FE8" s="18">
        <v>1.52E-2</v>
      </c>
      <c r="FF8" s="18">
        <v>1.52E-2</v>
      </c>
      <c r="FG8" s="18">
        <v>1.5800000000000002E-2</v>
      </c>
      <c r="FH8" s="18">
        <v>1.5299999999999999E-2</v>
      </c>
      <c r="FI8" s="18">
        <v>1.5299999999999999E-2</v>
      </c>
      <c r="FJ8" s="18">
        <v>1.5299999999999999E-2</v>
      </c>
      <c r="FK8" s="18">
        <v>1.6E-2</v>
      </c>
      <c r="FL8" s="18">
        <v>1.6199999999999999E-2</v>
      </c>
      <c r="FM8" s="18">
        <v>1.61E-2</v>
      </c>
      <c r="FN8" s="18">
        <v>1.5800000000000002E-2</v>
      </c>
      <c r="FO8" s="18">
        <v>1.6799999999999999E-2</v>
      </c>
      <c r="FP8" s="18">
        <v>1.61E-2</v>
      </c>
      <c r="FQ8" s="18">
        <v>1.7999999999999999E-2</v>
      </c>
      <c r="FR8" s="18">
        <v>1.83E-2</v>
      </c>
      <c r="FS8" s="18">
        <v>1.7500000000000002E-2</v>
      </c>
      <c r="FT8" s="18">
        <v>1.7299999999999999E-2</v>
      </c>
      <c r="FU8" s="18">
        <v>1.5900000000000001E-2</v>
      </c>
      <c r="FV8" s="18">
        <v>1.5599999999999999E-2</v>
      </c>
      <c r="FW8" s="18">
        <v>1.52E-2</v>
      </c>
      <c r="FX8" s="18">
        <v>1.41E-2</v>
      </c>
      <c r="FY8" s="18">
        <v>1.41E-2</v>
      </c>
      <c r="FZ8" s="17">
        <v>1.34E-2</v>
      </c>
      <c r="GA8" s="13">
        <v>1.32E-2</v>
      </c>
      <c r="GB8" s="13">
        <v>1.34E-2</v>
      </c>
      <c r="GC8" s="13">
        <v>1.3100000000000001E-2</v>
      </c>
      <c r="GD8" s="13">
        <v>1.21E-2</v>
      </c>
      <c r="GE8" s="13">
        <v>1.2500000000000001E-2</v>
      </c>
      <c r="GF8" s="13">
        <v>1.2E-2</v>
      </c>
      <c r="GG8" s="18">
        <v>1.21E-2</v>
      </c>
      <c r="GH8" s="17">
        <v>9.2999999999999992E-3</v>
      </c>
      <c r="GI8" s="17">
        <v>6.1999999999999998E-3</v>
      </c>
      <c r="GJ8" s="17">
        <v>4.4000000000000003E-3</v>
      </c>
      <c r="GK8" s="13">
        <v>3.5999999999999999E-3</v>
      </c>
      <c r="GL8" s="18">
        <v>3.2000000000000002E-3</v>
      </c>
      <c r="GM8" s="18">
        <v>4.8999999999999998E-3</v>
      </c>
      <c r="GN8" s="17">
        <v>4.1999999999999997E-3</v>
      </c>
      <c r="GO8" s="13">
        <v>4.4000000000000003E-3</v>
      </c>
      <c r="GP8" s="13">
        <v>5.1000000000000004E-3</v>
      </c>
      <c r="GQ8" s="13">
        <v>4.1999999999999997E-3</v>
      </c>
      <c r="GR8" s="16">
        <v>2.5999999999999999E-3</v>
      </c>
      <c r="GS8" s="15">
        <v>2E-3</v>
      </c>
      <c r="GT8" s="14">
        <v>1.8E-3</v>
      </c>
      <c r="GU8" s="13">
        <v>2.0999999999999999E-3</v>
      </c>
      <c r="GV8" s="16">
        <v>2.2000000000000001E-3</v>
      </c>
      <c r="GW8" s="15">
        <v>2.2000000000000001E-3</v>
      </c>
      <c r="GX8" s="14">
        <v>2.3E-3</v>
      </c>
      <c r="GY8" s="13">
        <v>2.8999999999999998E-3</v>
      </c>
      <c r="GZ8" s="13">
        <v>3.5000000000000001E-3</v>
      </c>
      <c r="HA8" s="16">
        <v>4.4000000000000003E-3</v>
      </c>
      <c r="HB8" s="16">
        <v>6.7999999999999996E-3</v>
      </c>
      <c r="HC8" s="16">
        <v>1.0200000000000001E-2</v>
      </c>
      <c r="HD8" s="16">
        <v>1.1900000000000001E-2</v>
      </c>
      <c r="HE8" s="16">
        <v>1.4999999999999999E-2</v>
      </c>
      <c r="HF8" s="16">
        <v>2.0299999999999999E-2</v>
      </c>
      <c r="HG8" s="16">
        <v>3.4200000000000001E-2</v>
      </c>
      <c r="HH8" s="16">
        <v>4.5499999999999999E-2</v>
      </c>
      <c r="HI8" s="16">
        <v>4.9000000000000002E-2</v>
      </c>
      <c r="HJ8" s="16">
        <v>5.2499999999999998E-2</v>
      </c>
      <c r="HK8" s="16">
        <v>5.5599999999999997E-2</v>
      </c>
      <c r="HL8" s="14">
        <v>5.6800000000000003E-2</v>
      </c>
      <c r="HM8" s="14">
        <v>6.0699999999999997E-2</v>
      </c>
      <c r="HN8" s="14">
        <v>6.25E-2</v>
      </c>
      <c r="HO8" s="14">
        <v>6.0400000000000002E-2</v>
      </c>
      <c r="HP8" s="14">
        <v>5.8099999999999999E-2</v>
      </c>
      <c r="HQ8" s="14">
        <v>5.7599999999999998E-2</v>
      </c>
      <c r="HR8" s="14">
        <v>5.7000000000000002E-2</v>
      </c>
      <c r="HS8" s="14">
        <v>5.6800000000000003E-2</v>
      </c>
      <c r="HT8" s="14">
        <v>5.8000000000000003E-2</v>
      </c>
      <c r="HU8" s="14">
        <v>5.5300000000000002E-2</v>
      </c>
      <c r="HV8" s="14">
        <v>5.28E-2</v>
      </c>
      <c r="HW8" s="14">
        <v>4.9599999999999998E-2</v>
      </c>
      <c r="HX8" s="14">
        <v>4.6100000000000002E-2</v>
      </c>
      <c r="HY8" s="13">
        <v>4.4999999999999998E-2</v>
      </c>
      <c r="HZ8" s="16">
        <v>4.41E-2</v>
      </c>
      <c r="IA8" s="14">
        <v>4.4200000000000003E-2</v>
      </c>
      <c r="IB8" s="14">
        <v>4.3799999999999999E-2</v>
      </c>
      <c r="IC8" s="13">
        <v>4.2999999999999997E-2</v>
      </c>
      <c r="ID8" s="13">
        <v>4.1799999999999997E-2</v>
      </c>
      <c r="IE8" s="16">
        <v>4.1399999999999999E-2</v>
      </c>
      <c r="IF8" s="15">
        <v>4.1200000000000001E-2</v>
      </c>
      <c r="IG8" s="15">
        <v>4.1399999999999999E-2</v>
      </c>
      <c r="IH8" s="15">
        <v>4.0800000000000003E-2</v>
      </c>
      <c r="II8" s="16">
        <v>4.0599999999999997E-2</v>
      </c>
      <c r="IJ8" s="16">
        <v>0.04</v>
      </c>
      <c r="IK8" s="16">
        <v>3.9600000000000003E-2</v>
      </c>
      <c r="IL8" s="16">
        <v>3.95E-2</v>
      </c>
      <c r="IM8" s="15">
        <v>4.07E-2</v>
      </c>
      <c r="IN8" s="14">
        <v>4.0399999999999998E-2</v>
      </c>
      <c r="IO8" s="13">
        <v>4.0500000000000001E-2</v>
      </c>
      <c r="IP8" s="16">
        <v>4.0500000000000001E-2</v>
      </c>
      <c r="IQ8" s="16">
        <v>3.9300000000000002E-2</v>
      </c>
      <c r="IR8" s="15">
        <v>3.8199999999999998E-2</v>
      </c>
      <c r="IS8" s="15">
        <v>3.7900000000000003E-2</v>
      </c>
      <c r="IT8" s="15">
        <v>3.73E-2</v>
      </c>
      <c r="IU8" s="15">
        <v>3.61E-2</v>
      </c>
      <c r="IV8" s="16">
        <v>3.56E-2</v>
      </c>
      <c r="IW8" s="16">
        <v>3.4599999999999999E-2</v>
      </c>
      <c r="IX8" s="16">
        <v>3.3399999999999999E-2</v>
      </c>
      <c r="IY8" s="14">
        <v>3.2899999999999999E-2</v>
      </c>
      <c r="IZ8" s="13">
        <v>3.2099999999999997E-2</v>
      </c>
      <c r="JA8" s="13">
        <v>3.0700000000000002E-2</v>
      </c>
      <c r="JB8" s="13">
        <v>2.98E-2</v>
      </c>
      <c r="JC8" s="15">
        <v>2.9399999999999999E-2</v>
      </c>
      <c r="JD8" s="14">
        <v>2.9399999999999999E-2</v>
      </c>
      <c r="JE8" s="13">
        <v>0.03</v>
      </c>
    </row>
    <row r="9" spans="1:265" ht="12.75">
      <c r="A9" s="60"/>
      <c r="B9" s="59" t="s">
        <v>46</v>
      </c>
      <c r="C9" s="59" t="s">
        <v>88</v>
      </c>
      <c r="D9" s="29" t="s">
        <v>87</v>
      </c>
      <c r="E9" s="20">
        <v>7</v>
      </c>
      <c r="F9" s="19" t="s">
        <v>86</v>
      </c>
      <c r="G9" s="27">
        <v>5.6599999999999998E-2</v>
      </c>
      <c r="H9" s="27">
        <v>5.4899999999999997E-2</v>
      </c>
      <c r="I9" s="27">
        <v>5.7200000000000001E-2</v>
      </c>
      <c r="J9" s="27">
        <v>5.2299999999999999E-2</v>
      </c>
      <c r="K9" s="27">
        <v>4.82E-2</v>
      </c>
      <c r="L9" s="27">
        <v>4.5999999999999999E-2</v>
      </c>
      <c r="M9" s="27">
        <v>4.3400000000000001E-2</v>
      </c>
      <c r="N9" s="27">
        <v>4.1700000000000001E-2</v>
      </c>
      <c r="O9" s="27">
        <v>4.0399999999999998E-2</v>
      </c>
      <c r="P9" s="27">
        <v>4.02E-2</v>
      </c>
      <c r="Q9" s="27">
        <v>3.9899999999999998E-2</v>
      </c>
      <c r="R9" s="27">
        <v>3.7600000000000001E-2</v>
      </c>
      <c r="S9" s="27">
        <v>3.9E-2</v>
      </c>
      <c r="T9" s="27">
        <v>3.73E-2</v>
      </c>
      <c r="U9" s="27">
        <v>3.5799999999999998E-2</v>
      </c>
      <c r="V9" s="27">
        <v>3.56E-2</v>
      </c>
      <c r="W9" s="27">
        <v>3.5900000000000001E-2</v>
      </c>
      <c r="X9" s="27">
        <v>3.5200000000000002E-2</v>
      </c>
      <c r="Y9" s="27">
        <v>3.5799999999999998E-2</v>
      </c>
      <c r="Z9" s="27">
        <v>3.56E-2</v>
      </c>
      <c r="AA9" s="27">
        <v>3.5200000000000002E-2</v>
      </c>
      <c r="AB9" s="27">
        <v>3.5900000000000001E-2</v>
      </c>
      <c r="AC9" s="27">
        <v>3.5200000000000002E-2</v>
      </c>
      <c r="AD9" s="27">
        <v>3.4799999999999998E-2</v>
      </c>
      <c r="AE9" s="27">
        <v>3.5299999999999998E-2</v>
      </c>
      <c r="AF9" s="27">
        <v>3.5700000000000003E-2</v>
      </c>
      <c r="AG9" s="27">
        <v>3.5700000000000003E-2</v>
      </c>
      <c r="AH9" s="27">
        <v>3.5200000000000002E-2</v>
      </c>
      <c r="AI9" s="27">
        <v>3.85E-2</v>
      </c>
      <c r="AJ9" s="27">
        <v>3.9399999999999998E-2</v>
      </c>
      <c r="AK9" s="27">
        <v>4.1099999999999998E-2</v>
      </c>
      <c r="AL9" s="27">
        <v>4.0899999999999999E-2</v>
      </c>
      <c r="AM9" s="27">
        <v>4.2200000000000001E-2</v>
      </c>
      <c r="AN9" s="27">
        <v>4.4999999999999998E-2</v>
      </c>
      <c r="AO9" s="27">
        <v>4.5699999999999998E-2</v>
      </c>
      <c r="AP9" s="27">
        <v>4.1799999999999997E-2</v>
      </c>
      <c r="AQ9" s="27">
        <v>4.7100000000000003E-2</v>
      </c>
      <c r="AR9" s="27">
        <v>4.9599999999999998E-2</v>
      </c>
      <c r="AS9" s="27">
        <v>5.2900000000000003E-2</v>
      </c>
      <c r="AT9" s="27">
        <v>5.5E-2</v>
      </c>
      <c r="AU9" s="27">
        <v>5.3400000000000003E-2</v>
      </c>
      <c r="AV9" s="27">
        <v>5.5100000000000003E-2</v>
      </c>
      <c r="AW9" s="27">
        <v>5.5599999999999997E-2</v>
      </c>
      <c r="AX9" s="27">
        <v>5.62E-2</v>
      </c>
      <c r="AY9" s="27">
        <v>5.5100000000000003E-2</v>
      </c>
      <c r="AZ9" s="27">
        <v>5.6099999999999997E-2</v>
      </c>
      <c r="BA9" s="27">
        <v>5.4100000000000002E-2</v>
      </c>
      <c r="BB9" s="27">
        <v>5.4699999999999999E-2</v>
      </c>
      <c r="BC9" s="27">
        <v>4.7500000000000001E-2</v>
      </c>
      <c r="BD9" s="27">
        <v>3.8600000000000002E-2</v>
      </c>
      <c r="BE9" s="27">
        <v>3.2399999999999998E-2</v>
      </c>
      <c r="BF9" s="27">
        <v>3.1399999999999997E-2</v>
      </c>
      <c r="BG9" s="27">
        <v>3.2899999999999999E-2</v>
      </c>
      <c r="BH9" s="27">
        <v>3.1199999999999999E-2</v>
      </c>
      <c r="BI9" s="27">
        <v>2.8799999999999999E-2</v>
      </c>
      <c r="BJ9" s="27">
        <v>2.7900000000000001E-2</v>
      </c>
      <c r="BK9" s="27">
        <v>2.8299999999999999E-2</v>
      </c>
      <c r="BL9" s="27">
        <v>2.7799999999999998E-2</v>
      </c>
      <c r="BM9" s="27">
        <v>2.9000000000000001E-2</v>
      </c>
      <c r="BN9" s="27">
        <v>2.7699999999999999E-2</v>
      </c>
      <c r="BO9" s="27">
        <v>2.6599999999999999E-2</v>
      </c>
      <c r="BP9" s="27">
        <v>2.7300000000000001E-2</v>
      </c>
      <c r="BQ9" s="27">
        <v>2.7699999999999999E-2</v>
      </c>
      <c r="BR9" s="27">
        <v>2.8199999999999999E-2</v>
      </c>
      <c r="BS9" s="27">
        <v>2.93E-2</v>
      </c>
      <c r="BT9" s="27">
        <v>2.9499999999999998E-2</v>
      </c>
      <c r="BU9" s="27">
        <v>2.75E-2</v>
      </c>
      <c r="BV9" s="27">
        <v>2.9100000000000001E-2</v>
      </c>
      <c r="BW9" s="27">
        <v>2.9499999999999998E-2</v>
      </c>
      <c r="BX9" s="27">
        <v>2.9600000000000001E-2</v>
      </c>
      <c r="BY9" s="27">
        <v>2.8799999999999999E-2</v>
      </c>
      <c r="BZ9" s="27">
        <v>2.8899999999999999E-2</v>
      </c>
      <c r="CA9" s="27">
        <v>2.8400000000000002E-2</v>
      </c>
      <c r="CB9" s="27">
        <v>3.0200000000000001E-2</v>
      </c>
      <c r="CC9" s="27">
        <v>3.2099999999999997E-2</v>
      </c>
      <c r="CD9" s="27">
        <v>3.3099999999999997E-2</v>
      </c>
      <c r="CE9" s="27">
        <v>3.3300000000000003E-2</v>
      </c>
      <c r="CF9" s="27">
        <v>3.8199999999999998E-2</v>
      </c>
      <c r="CG9" s="27">
        <v>3.8699999999999998E-2</v>
      </c>
      <c r="CH9" s="27">
        <v>3.95E-2</v>
      </c>
      <c r="CI9" s="27">
        <v>3.9899999999999998E-2</v>
      </c>
      <c r="CJ9" s="27">
        <v>3.9100000000000003E-2</v>
      </c>
      <c r="CK9" s="27">
        <v>4.0399999999999998E-2</v>
      </c>
      <c r="CL9" s="27">
        <v>3.9600000000000003E-2</v>
      </c>
      <c r="CM9" s="27">
        <v>3.8800000000000001E-2</v>
      </c>
      <c r="CN9" s="27">
        <v>3.8300000000000001E-2</v>
      </c>
      <c r="CO9" s="27">
        <v>3.9699999999999999E-2</v>
      </c>
      <c r="CP9" s="27">
        <v>3.9199999999999999E-2</v>
      </c>
      <c r="CQ9" s="27">
        <v>4.2000000000000003E-2</v>
      </c>
      <c r="CR9" s="27">
        <v>4.24E-2</v>
      </c>
      <c r="CS9" s="27">
        <v>4.2700000000000002E-2</v>
      </c>
      <c r="CT9" s="27">
        <v>4.3200000000000002E-2</v>
      </c>
      <c r="CU9" s="27">
        <v>4.4200000000000003E-2</v>
      </c>
      <c r="CV9" s="27">
        <v>4.2500000000000003E-2</v>
      </c>
      <c r="CW9" s="27">
        <v>4.1599999999999998E-2</v>
      </c>
      <c r="CX9" s="27">
        <v>3.8100000000000002E-2</v>
      </c>
      <c r="CY9" s="27">
        <v>3.49E-2</v>
      </c>
      <c r="CZ9" s="27">
        <v>3.3700000000000001E-2</v>
      </c>
      <c r="DA9" s="27">
        <v>2.9899999999999999E-2</v>
      </c>
      <c r="DB9" s="27">
        <v>2.81E-2</v>
      </c>
      <c r="DC9" s="27">
        <v>2.6599999999999999E-2</v>
      </c>
      <c r="DD9" s="27">
        <v>2.41E-2</v>
      </c>
      <c r="DE9" s="27">
        <v>2.1600000000000001E-2</v>
      </c>
      <c r="DF9" s="27">
        <v>2.1899999999999999E-2</v>
      </c>
      <c r="DG9" s="27">
        <v>2.24E-2</v>
      </c>
      <c r="DH9" s="27">
        <v>2.2100000000000002E-2</v>
      </c>
      <c r="DI9" s="27">
        <v>2.2700000000000001E-2</v>
      </c>
      <c r="DJ9" s="27">
        <v>2.1999999999999999E-2</v>
      </c>
      <c r="DK9" s="27">
        <v>2.2599999999999999E-2</v>
      </c>
      <c r="DL9" s="27">
        <v>2.2200000000000001E-2</v>
      </c>
      <c r="DM9" s="27">
        <v>2.3599999999999999E-2</v>
      </c>
      <c r="DN9" s="27">
        <v>2.3199999999999998E-2</v>
      </c>
      <c r="DO9" s="27">
        <v>2.3300000000000001E-2</v>
      </c>
      <c r="DP9" s="27">
        <v>2.3900000000000001E-2</v>
      </c>
      <c r="DQ9" s="27">
        <v>2.3199999999999998E-2</v>
      </c>
      <c r="DR9" s="27">
        <v>2.35E-2</v>
      </c>
      <c r="DS9" s="27">
        <v>2.3400000000000001E-2</v>
      </c>
      <c r="DT9" s="27">
        <v>1.9099999999999999E-2</v>
      </c>
      <c r="DU9" s="27">
        <v>1.84E-2</v>
      </c>
      <c r="DV9" s="27">
        <v>1.8800000000000001E-2</v>
      </c>
      <c r="DW9" s="27">
        <v>1.7299999999999999E-2</v>
      </c>
      <c r="DX9" s="27">
        <v>1.77E-2</v>
      </c>
      <c r="DY9" s="27">
        <v>1.52E-2</v>
      </c>
      <c r="DZ9" s="27">
        <v>1.41E-2</v>
      </c>
      <c r="EA9" s="27">
        <v>1.41E-2</v>
      </c>
      <c r="EB9" s="27">
        <v>1.46E-2</v>
      </c>
      <c r="EC9" s="27">
        <v>1.4E-2</v>
      </c>
      <c r="ED9" s="27">
        <v>1.44E-2</v>
      </c>
      <c r="EE9" s="27">
        <v>1.4500000000000001E-2</v>
      </c>
      <c r="EF9" s="27">
        <v>1.4200000000000001E-2</v>
      </c>
      <c r="EG9" s="27">
        <v>1.44E-2</v>
      </c>
      <c r="EH9" s="27">
        <v>1.3899999999999999E-2</v>
      </c>
      <c r="EI9" s="27">
        <v>1.2800000000000001E-2</v>
      </c>
      <c r="EJ9" s="27">
        <v>1.15E-2</v>
      </c>
      <c r="EK9" s="27">
        <v>1.11E-2</v>
      </c>
      <c r="EL9" s="27">
        <v>1.14E-2</v>
      </c>
      <c r="EM9" s="27">
        <v>1.15E-2</v>
      </c>
      <c r="EN9" s="27">
        <v>1.17E-2</v>
      </c>
      <c r="EO9" s="27">
        <v>1.17E-2</v>
      </c>
      <c r="EP9" s="27">
        <v>1.1900000000000001E-2</v>
      </c>
      <c r="EQ9" s="27">
        <v>1.2E-2</v>
      </c>
      <c r="ER9" s="27">
        <v>1.1599999999999999E-2</v>
      </c>
      <c r="ES9" s="27">
        <v>1.1299999999999999E-2</v>
      </c>
      <c r="ET9" s="27">
        <v>1.06E-2</v>
      </c>
      <c r="EU9" s="27">
        <v>1.0999999999999999E-2</v>
      </c>
      <c r="EV9" s="27">
        <v>1.14E-2</v>
      </c>
      <c r="EW9" s="27">
        <v>1.09E-2</v>
      </c>
      <c r="EX9" s="27">
        <v>1.09E-2</v>
      </c>
      <c r="EY9" s="27">
        <v>1.1299999999999999E-2</v>
      </c>
      <c r="EZ9" s="27">
        <v>1.11E-2</v>
      </c>
      <c r="FA9" s="27">
        <v>1.17E-2</v>
      </c>
      <c r="FB9" s="27">
        <v>1.11E-2</v>
      </c>
      <c r="FC9" s="27">
        <v>1.12E-2</v>
      </c>
      <c r="FD9" s="27">
        <v>1.0800000000000001E-2</v>
      </c>
      <c r="FE9" s="27">
        <v>1.14E-2</v>
      </c>
      <c r="FF9" s="27">
        <v>1.03E-2</v>
      </c>
      <c r="FG9" s="27">
        <v>1.04E-2</v>
      </c>
      <c r="FH9" s="27">
        <v>1.11E-2</v>
      </c>
      <c r="FI9" s="27">
        <v>1.15E-2</v>
      </c>
      <c r="FJ9" s="27">
        <v>1.15E-2</v>
      </c>
      <c r="FK9" s="27">
        <v>1.09E-2</v>
      </c>
      <c r="FL9" s="27">
        <v>1.09E-2</v>
      </c>
      <c r="FM9" s="27">
        <v>1.0800000000000001E-2</v>
      </c>
      <c r="FN9" s="27">
        <v>1.0200000000000001E-2</v>
      </c>
      <c r="FO9" s="27">
        <v>1.11E-2</v>
      </c>
      <c r="FP9" s="27">
        <v>1.06E-2</v>
      </c>
      <c r="FQ9" s="27">
        <v>1.03E-2</v>
      </c>
      <c r="FR9" s="27">
        <v>9.7999999999999997E-3</v>
      </c>
      <c r="FS9" s="27">
        <v>1.03E-2</v>
      </c>
      <c r="FT9" s="27">
        <v>1.0800000000000001E-2</v>
      </c>
      <c r="FU9" s="27">
        <v>1.0800000000000001E-2</v>
      </c>
      <c r="FV9" s="27">
        <v>1.0800000000000001E-2</v>
      </c>
      <c r="FW9" s="27">
        <v>1.06E-2</v>
      </c>
      <c r="FX9" s="27">
        <v>0.01</v>
      </c>
      <c r="FY9" s="27">
        <v>1.06E-2</v>
      </c>
      <c r="FZ9" s="26">
        <v>1.04E-2</v>
      </c>
      <c r="GA9" s="22">
        <v>0.01</v>
      </c>
      <c r="GB9" s="22">
        <v>9.5999999999999992E-3</v>
      </c>
      <c r="GC9" s="22">
        <v>9.4000000000000004E-3</v>
      </c>
      <c r="GD9" s="22">
        <v>7.6E-3</v>
      </c>
      <c r="GE9" s="22">
        <v>8.6E-3</v>
      </c>
      <c r="GF9" s="22">
        <v>8.5000000000000006E-3</v>
      </c>
      <c r="GG9" s="27">
        <v>6.7000000000000002E-3</v>
      </c>
      <c r="GH9" s="26">
        <v>3.5000000000000001E-3</v>
      </c>
      <c r="GI9" s="26">
        <v>1.9E-3</v>
      </c>
      <c r="GJ9" s="26">
        <v>6.9999999999999999E-4</v>
      </c>
      <c r="GK9" s="22">
        <v>5.0000000000000001E-4</v>
      </c>
      <c r="GL9" s="27">
        <v>4.0000000000000002E-4</v>
      </c>
      <c r="GM9" s="27">
        <v>4.0000000000000002E-4</v>
      </c>
      <c r="GN9" s="26">
        <v>4.0000000000000002E-4</v>
      </c>
      <c r="GO9" s="22">
        <v>4.0000000000000002E-4</v>
      </c>
      <c r="GP9" s="22">
        <v>2.9999999999999997E-4</v>
      </c>
      <c r="GQ9" s="22">
        <v>2.9999999999999997E-4</v>
      </c>
      <c r="GR9" s="25">
        <v>2.9999999999999997E-4</v>
      </c>
      <c r="GS9" s="24">
        <v>2.0000000000000001E-4</v>
      </c>
      <c r="GT9" s="23">
        <v>2.0000000000000001E-4</v>
      </c>
      <c r="GU9" s="22">
        <v>2.9999999999999997E-4</v>
      </c>
      <c r="GV9" s="25">
        <v>2.9999999999999997E-4</v>
      </c>
      <c r="GW9" s="24">
        <v>2.0000000000000001E-4</v>
      </c>
      <c r="GX9" s="23">
        <v>2.9999999999999997E-4</v>
      </c>
      <c r="GY9" s="22">
        <v>2.0000000000000001E-4</v>
      </c>
      <c r="GZ9" s="22">
        <v>8.9999999999999998E-4</v>
      </c>
      <c r="HA9" s="25">
        <v>5.7000000000000002E-3</v>
      </c>
      <c r="HB9" s="25">
        <v>7.7999999999999996E-3</v>
      </c>
      <c r="HC9" s="25">
        <v>1.1599999999999999E-2</v>
      </c>
      <c r="HD9" s="25">
        <v>1.3899999999999999E-2</v>
      </c>
      <c r="HE9" s="25">
        <v>2.23E-2</v>
      </c>
      <c r="HF9" s="25">
        <v>3.09E-2</v>
      </c>
      <c r="HG9" s="25">
        <v>3.7600000000000001E-2</v>
      </c>
      <c r="HH9" s="25">
        <v>4.6800000000000001E-2</v>
      </c>
      <c r="HI9" s="25">
        <v>5.11E-2</v>
      </c>
      <c r="HJ9" s="25">
        <v>5.4199999999999998E-2</v>
      </c>
      <c r="HK9" s="25">
        <v>5.3600000000000002E-2</v>
      </c>
      <c r="HL9" s="23">
        <v>5.4699999999999999E-2</v>
      </c>
      <c r="HM9" s="23">
        <v>5.4699999999999999E-2</v>
      </c>
      <c r="HN9" s="23">
        <v>5.4100000000000002E-2</v>
      </c>
      <c r="HO9" s="23">
        <v>5.3400000000000003E-2</v>
      </c>
      <c r="HP9" s="23">
        <v>5.3199999999999997E-2</v>
      </c>
      <c r="HQ9" s="23">
        <v>5.1900000000000002E-2</v>
      </c>
      <c r="HR9" s="23">
        <v>5.1400000000000001E-2</v>
      </c>
      <c r="HS9" s="23">
        <v>5.1999999999999998E-2</v>
      </c>
      <c r="HT9" s="23">
        <v>5.2900000000000003E-2</v>
      </c>
      <c r="HU9" s="23">
        <v>5.2600000000000001E-2</v>
      </c>
      <c r="HV9" s="23">
        <v>5.2200000000000003E-2</v>
      </c>
      <c r="HW9" s="23">
        <v>4.5199999999999997E-2</v>
      </c>
      <c r="HX9" s="23">
        <v>4.2099999999999999E-2</v>
      </c>
      <c r="HY9" s="22">
        <v>4.1300000000000003E-2</v>
      </c>
      <c r="HZ9" s="25">
        <v>3.8800000000000001E-2</v>
      </c>
      <c r="IA9" s="23">
        <v>4.07E-2</v>
      </c>
      <c r="IB9" s="23">
        <v>3.9800000000000002E-2</v>
      </c>
      <c r="IC9" s="22">
        <v>3.9699999999999999E-2</v>
      </c>
      <c r="ID9" s="22">
        <v>3.9699999999999999E-2</v>
      </c>
      <c r="IE9" s="25">
        <v>3.9699999999999999E-2</v>
      </c>
      <c r="IF9" s="24">
        <v>3.9600000000000003E-2</v>
      </c>
      <c r="IG9" s="24">
        <v>4.0899999999999999E-2</v>
      </c>
      <c r="IH9" s="24">
        <v>4.0399999999999998E-2</v>
      </c>
      <c r="II9" s="25">
        <v>4.1000000000000002E-2</v>
      </c>
      <c r="IJ9" s="25">
        <v>4.0800000000000003E-2</v>
      </c>
      <c r="IK9" s="25">
        <v>4.0899999999999999E-2</v>
      </c>
      <c r="IL9" s="25">
        <v>3.9699999999999999E-2</v>
      </c>
      <c r="IM9" s="24">
        <v>0.04</v>
      </c>
      <c r="IN9" s="23">
        <v>4.0099999999999997E-2</v>
      </c>
      <c r="IO9" s="22">
        <v>4.1599999999999998E-2</v>
      </c>
      <c r="IP9" s="25">
        <v>4.1500000000000002E-2</v>
      </c>
      <c r="IQ9" s="25">
        <v>3.9100000000000003E-2</v>
      </c>
      <c r="IR9" s="24">
        <v>3.8100000000000002E-2</v>
      </c>
      <c r="IS9" s="24">
        <v>3.6200000000000003E-2</v>
      </c>
      <c r="IT9" s="24">
        <v>3.5700000000000003E-2</v>
      </c>
      <c r="IU9" s="24">
        <v>3.4299999999999997E-2</v>
      </c>
      <c r="IV9" s="25">
        <v>3.2500000000000001E-2</v>
      </c>
      <c r="IW9" s="25">
        <v>2.9399999999999999E-2</v>
      </c>
      <c r="IX9" s="25">
        <v>2.6700000000000002E-2</v>
      </c>
      <c r="IY9" s="23">
        <v>2.6800000000000001E-2</v>
      </c>
      <c r="IZ9" s="22">
        <v>2.7E-2</v>
      </c>
      <c r="JA9" s="22">
        <v>2.6599999999999999E-2</v>
      </c>
      <c r="JB9" s="22">
        <v>2.53E-2</v>
      </c>
      <c r="JC9" s="24">
        <v>2.5499999999999998E-2</v>
      </c>
      <c r="JD9" s="23">
        <v>2.6499999999999999E-2</v>
      </c>
      <c r="JE9" s="22">
        <v>2.6100000000000002E-2</v>
      </c>
    </row>
    <row r="10" spans="1:265" ht="12.75">
      <c r="A10" s="60"/>
      <c r="B10" s="60"/>
      <c r="C10" s="60"/>
      <c r="D10" s="29" t="s">
        <v>85</v>
      </c>
      <c r="E10" s="20">
        <v>8</v>
      </c>
      <c r="F10" s="19" t="s">
        <v>84</v>
      </c>
      <c r="G10" s="18">
        <v>6.0299999999999999E-2</v>
      </c>
      <c r="H10" s="18">
        <v>5.9499999999999997E-2</v>
      </c>
      <c r="I10" s="18">
        <v>5.8200000000000002E-2</v>
      </c>
      <c r="J10" s="18">
        <v>5.3400000000000003E-2</v>
      </c>
      <c r="K10" s="18">
        <v>5.0500000000000003E-2</v>
      </c>
      <c r="L10" s="18">
        <v>4.7899999999999998E-2</v>
      </c>
      <c r="M10" s="18">
        <v>4.36E-2</v>
      </c>
      <c r="N10" s="18">
        <v>4.2700000000000002E-2</v>
      </c>
      <c r="O10" s="18">
        <v>4.1200000000000001E-2</v>
      </c>
      <c r="P10" s="18">
        <v>4.1200000000000001E-2</v>
      </c>
      <c r="Q10" s="18">
        <v>4.1599999999999998E-2</v>
      </c>
      <c r="R10" s="18">
        <v>4.0899999999999999E-2</v>
      </c>
      <c r="S10" s="18">
        <v>4.02E-2</v>
      </c>
      <c r="T10" s="18">
        <v>3.8100000000000002E-2</v>
      </c>
      <c r="U10" s="18">
        <v>3.73E-2</v>
      </c>
      <c r="V10" s="18">
        <v>3.7199999999999997E-2</v>
      </c>
      <c r="W10" s="18">
        <v>3.73E-2</v>
      </c>
      <c r="X10" s="18">
        <v>3.7699999999999997E-2</v>
      </c>
      <c r="Y10" s="18">
        <v>3.7100000000000001E-2</v>
      </c>
      <c r="Z10" s="18">
        <v>3.7199999999999997E-2</v>
      </c>
      <c r="AA10" s="18">
        <v>3.7199999999999997E-2</v>
      </c>
      <c r="AB10" s="18">
        <v>3.7100000000000001E-2</v>
      </c>
      <c r="AC10" s="18">
        <v>3.7199999999999997E-2</v>
      </c>
      <c r="AD10" s="18">
        <v>3.7199999999999997E-2</v>
      </c>
      <c r="AE10" s="18">
        <v>3.7100000000000001E-2</v>
      </c>
      <c r="AF10" s="18">
        <v>3.6999999999999998E-2</v>
      </c>
      <c r="AG10" s="18">
        <v>3.7600000000000001E-2</v>
      </c>
      <c r="AH10" s="18">
        <v>3.78E-2</v>
      </c>
      <c r="AI10" s="18">
        <v>3.9800000000000002E-2</v>
      </c>
      <c r="AJ10" s="18">
        <v>4.0800000000000003E-2</v>
      </c>
      <c r="AK10" s="18">
        <v>4.2700000000000002E-2</v>
      </c>
      <c r="AL10" s="18">
        <v>4.2999999999999997E-2</v>
      </c>
      <c r="AM10" s="18">
        <v>4.4999999999999998E-2</v>
      </c>
      <c r="AN10" s="18">
        <v>4.5600000000000002E-2</v>
      </c>
      <c r="AO10" s="18">
        <v>4.65E-2</v>
      </c>
      <c r="AP10" s="18">
        <v>4.99E-2</v>
      </c>
      <c r="AQ10" s="18">
        <v>5.0200000000000002E-2</v>
      </c>
      <c r="AR10" s="18">
        <v>5.11E-2</v>
      </c>
      <c r="AS10" s="18">
        <v>5.4300000000000001E-2</v>
      </c>
      <c r="AT10" s="18">
        <v>5.6899999999999999E-2</v>
      </c>
      <c r="AU10" s="18">
        <v>5.79E-2</v>
      </c>
      <c r="AV10" s="18">
        <v>5.9200000000000003E-2</v>
      </c>
      <c r="AW10" s="18">
        <v>5.9299999999999999E-2</v>
      </c>
      <c r="AX10" s="18">
        <v>5.2999999999999999E-2</v>
      </c>
      <c r="AY10" s="18">
        <v>6.0299999999999999E-2</v>
      </c>
      <c r="AZ10" s="18">
        <v>6.2799999999999995E-2</v>
      </c>
      <c r="BA10" s="18">
        <v>6.4699999999999994E-2</v>
      </c>
      <c r="BB10" s="18">
        <v>6.7400000000000002E-2</v>
      </c>
      <c r="BC10" s="18">
        <v>5.9799999999999999E-2</v>
      </c>
      <c r="BD10" s="18">
        <v>5.3400000000000003E-2</v>
      </c>
      <c r="BE10" s="18">
        <v>5.0299999999999997E-2</v>
      </c>
      <c r="BF10" s="18">
        <v>4.7199999999999999E-2</v>
      </c>
      <c r="BG10" s="18">
        <v>4.6399999999999997E-2</v>
      </c>
      <c r="BH10" s="18">
        <v>4.6399999999999997E-2</v>
      </c>
      <c r="BI10" s="18">
        <v>4.3499999999999997E-2</v>
      </c>
      <c r="BJ10" s="18">
        <v>4.2000000000000003E-2</v>
      </c>
      <c r="BK10" s="18">
        <v>4.1599999999999998E-2</v>
      </c>
      <c r="BL10" s="18">
        <v>4.3200000000000002E-2</v>
      </c>
      <c r="BM10" s="18">
        <v>4.36E-2</v>
      </c>
      <c r="BN10" s="18">
        <v>4.5400000000000003E-2</v>
      </c>
      <c r="BO10" s="18">
        <v>4.1000000000000002E-2</v>
      </c>
      <c r="BP10" s="18">
        <v>4.0800000000000003E-2</v>
      </c>
      <c r="BQ10" s="18">
        <v>3.9300000000000002E-2</v>
      </c>
      <c r="BR10" s="18">
        <v>3.78E-2</v>
      </c>
      <c r="BS10" s="18">
        <v>3.7699999999999997E-2</v>
      </c>
      <c r="BT10" s="18">
        <v>3.7499999999999999E-2</v>
      </c>
      <c r="BU10" s="18">
        <v>3.7699999999999997E-2</v>
      </c>
      <c r="BV10" s="18">
        <v>3.7999999999999999E-2</v>
      </c>
      <c r="BW10" s="18">
        <v>4.02E-2</v>
      </c>
      <c r="BX10" s="18">
        <v>3.8699999999999998E-2</v>
      </c>
      <c r="BY10" s="18">
        <v>4.0800000000000003E-2</v>
      </c>
      <c r="BZ10" s="18">
        <v>4.0500000000000001E-2</v>
      </c>
      <c r="CA10" s="18">
        <v>3.95E-2</v>
      </c>
      <c r="CB10" s="18">
        <v>4.0099999999999997E-2</v>
      </c>
      <c r="CC10" s="18">
        <v>4.1000000000000002E-2</v>
      </c>
      <c r="CD10" s="18">
        <v>4.19E-2</v>
      </c>
      <c r="CE10" s="18">
        <v>4.4200000000000003E-2</v>
      </c>
      <c r="CF10" s="18">
        <v>4.7899999999999998E-2</v>
      </c>
      <c r="CG10" s="18">
        <v>4.7100000000000003E-2</v>
      </c>
      <c r="CH10" s="18">
        <v>5.0200000000000002E-2</v>
      </c>
      <c r="CI10" s="18">
        <v>5.16E-2</v>
      </c>
      <c r="CJ10" s="18">
        <v>5.16E-2</v>
      </c>
      <c r="CK10" s="18">
        <v>5.45E-2</v>
      </c>
      <c r="CL10" s="18">
        <v>5.4800000000000001E-2</v>
      </c>
      <c r="CM10" s="18">
        <v>5.21E-2</v>
      </c>
      <c r="CN10" s="18">
        <v>5.2600000000000001E-2</v>
      </c>
      <c r="CO10" s="18">
        <v>5.0700000000000002E-2</v>
      </c>
      <c r="CP10" s="18">
        <v>5.1799999999999999E-2</v>
      </c>
      <c r="CQ10" s="18">
        <v>5.21E-2</v>
      </c>
      <c r="CR10" s="18">
        <v>5.4899999999999997E-2</v>
      </c>
      <c r="CS10" s="18">
        <v>5.4399999999999997E-2</v>
      </c>
      <c r="CT10" s="18">
        <v>5.3199999999999997E-2</v>
      </c>
      <c r="CU10" s="18">
        <v>5.2499999999999998E-2</v>
      </c>
      <c r="CV10" s="18">
        <v>5.1999999999999998E-2</v>
      </c>
      <c r="CW10" s="18">
        <v>4.9200000000000001E-2</v>
      </c>
      <c r="CX10" s="18">
        <v>4.5999999999999999E-2</v>
      </c>
      <c r="CY10" s="18">
        <v>4.2299999999999997E-2</v>
      </c>
      <c r="CZ10" s="18">
        <v>4.0800000000000003E-2</v>
      </c>
      <c r="DA10" s="18">
        <v>3.5700000000000003E-2</v>
      </c>
      <c r="DB10" s="18">
        <v>3.4299999999999997E-2</v>
      </c>
      <c r="DC10" s="18">
        <v>3.0700000000000002E-2</v>
      </c>
      <c r="DD10" s="18">
        <v>2.8500000000000001E-2</v>
      </c>
      <c r="DE10" s="18">
        <v>2.6499999999999999E-2</v>
      </c>
      <c r="DF10" s="18">
        <v>2.63E-2</v>
      </c>
      <c r="DG10" s="18">
        <v>2.6700000000000002E-2</v>
      </c>
      <c r="DH10" s="18">
        <v>2.6599999999999999E-2</v>
      </c>
      <c r="DI10" s="18">
        <v>2.6800000000000001E-2</v>
      </c>
      <c r="DJ10" s="18">
        <v>2.75E-2</v>
      </c>
      <c r="DK10" s="18">
        <v>2.6800000000000001E-2</v>
      </c>
      <c r="DL10" s="18">
        <v>2.7199999999999998E-2</v>
      </c>
      <c r="DM10" s="18">
        <v>2.75E-2</v>
      </c>
      <c r="DN10" s="18">
        <v>2.76E-2</v>
      </c>
      <c r="DO10" s="18">
        <v>2.8000000000000001E-2</v>
      </c>
      <c r="DP10" s="18">
        <v>2.8299999999999999E-2</v>
      </c>
      <c r="DQ10" s="18">
        <v>2.76E-2</v>
      </c>
      <c r="DR10" s="18">
        <v>2.7099999999999999E-2</v>
      </c>
      <c r="DS10" s="18">
        <v>2.6800000000000001E-2</v>
      </c>
      <c r="DT10" s="18">
        <v>2.29E-2</v>
      </c>
      <c r="DU10" s="18">
        <v>2.1100000000000001E-2</v>
      </c>
      <c r="DV10" s="18">
        <v>2.1299999999999999E-2</v>
      </c>
      <c r="DW10" s="18">
        <v>2.0799999999999999E-2</v>
      </c>
      <c r="DX10" s="18">
        <v>2.06E-2</v>
      </c>
      <c r="DY10" s="18">
        <v>1.78E-2</v>
      </c>
      <c r="DZ10" s="18">
        <v>1.7299999999999999E-2</v>
      </c>
      <c r="EA10" s="18">
        <v>1.72E-2</v>
      </c>
      <c r="EB10" s="18">
        <v>1.7299999999999999E-2</v>
      </c>
      <c r="EC10" s="18">
        <v>1.72E-2</v>
      </c>
      <c r="ED10" s="18">
        <v>1.7500000000000002E-2</v>
      </c>
      <c r="EE10" s="18">
        <v>1.77E-2</v>
      </c>
      <c r="EF10" s="18">
        <v>1.7600000000000001E-2</v>
      </c>
      <c r="EG10" s="18">
        <v>1.7899999999999999E-2</v>
      </c>
      <c r="EH10" s="18">
        <v>1.83E-2</v>
      </c>
      <c r="EI10" s="18">
        <v>1.6299999999999999E-2</v>
      </c>
      <c r="EJ10" s="18">
        <v>1.5299999999999999E-2</v>
      </c>
      <c r="EK10" s="18">
        <v>1.49E-2</v>
      </c>
      <c r="EL10" s="18">
        <v>1.44E-2</v>
      </c>
      <c r="EM10" s="18">
        <v>1.43E-2</v>
      </c>
      <c r="EN10" s="18">
        <v>1.4800000000000001E-2</v>
      </c>
      <c r="EO10" s="18">
        <v>1.55E-2</v>
      </c>
      <c r="EP10" s="18">
        <v>1.5299999999999999E-2</v>
      </c>
      <c r="EQ10" s="18">
        <v>1.5599999999999999E-2</v>
      </c>
      <c r="ER10" s="18">
        <v>1.55E-2</v>
      </c>
      <c r="ES10" s="18">
        <v>1.55E-2</v>
      </c>
      <c r="ET10" s="18">
        <v>1.5299999999999999E-2</v>
      </c>
      <c r="EU10" s="18">
        <v>1.4999999999999999E-2</v>
      </c>
      <c r="EV10" s="18">
        <v>1.5100000000000001E-2</v>
      </c>
      <c r="EW10" s="18">
        <v>1.5100000000000001E-2</v>
      </c>
      <c r="EX10" s="18">
        <v>1.4999999999999999E-2</v>
      </c>
      <c r="EY10" s="18">
        <v>1.52E-2</v>
      </c>
      <c r="EZ10" s="18">
        <v>1.52E-2</v>
      </c>
      <c r="FA10" s="18">
        <v>1.5299999999999999E-2</v>
      </c>
      <c r="FB10" s="18">
        <v>1.55E-2</v>
      </c>
      <c r="FC10" s="18">
        <v>1.54E-2</v>
      </c>
      <c r="FD10" s="18">
        <v>1.5299999999999999E-2</v>
      </c>
      <c r="FE10" s="18">
        <v>1.5599999999999999E-2</v>
      </c>
      <c r="FF10" s="18">
        <v>1.5100000000000001E-2</v>
      </c>
      <c r="FG10" s="18">
        <v>1.4999999999999999E-2</v>
      </c>
      <c r="FH10" s="18">
        <v>1.4800000000000001E-2</v>
      </c>
      <c r="FI10" s="18">
        <v>1.49E-2</v>
      </c>
      <c r="FJ10" s="18">
        <v>1.4800000000000001E-2</v>
      </c>
      <c r="FK10" s="18">
        <v>1.46E-2</v>
      </c>
      <c r="FL10" s="18">
        <v>1.47E-2</v>
      </c>
      <c r="FM10" s="18">
        <v>1.47E-2</v>
      </c>
      <c r="FN10" s="18">
        <v>1.47E-2</v>
      </c>
      <c r="FO10" s="18">
        <v>1.5100000000000001E-2</v>
      </c>
      <c r="FP10" s="18">
        <v>1.43E-2</v>
      </c>
      <c r="FQ10" s="18">
        <v>1.4500000000000001E-2</v>
      </c>
      <c r="FR10" s="18">
        <v>1.44E-2</v>
      </c>
      <c r="FS10" s="18">
        <v>1.44E-2</v>
      </c>
      <c r="FT10" s="18">
        <v>1.44E-2</v>
      </c>
      <c r="FU10" s="18">
        <v>1.43E-2</v>
      </c>
      <c r="FV10" s="18">
        <v>1.4E-2</v>
      </c>
      <c r="FW10" s="18">
        <v>1.4200000000000001E-2</v>
      </c>
      <c r="FX10" s="18">
        <v>1.3899999999999999E-2</v>
      </c>
      <c r="FY10" s="18">
        <v>1.37E-2</v>
      </c>
      <c r="FZ10" s="17">
        <v>1.3599999999999999E-2</v>
      </c>
      <c r="GA10" s="13">
        <v>1.37E-2</v>
      </c>
      <c r="GB10" s="13">
        <v>1.3599999999999999E-2</v>
      </c>
      <c r="GC10" s="13">
        <v>1.35E-2</v>
      </c>
      <c r="GD10" s="13">
        <v>1.26E-2</v>
      </c>
      <c r="GE10" s="13">
        <v>1.2500000000000001E-2</v>
      </c>
      <c r="GF10" s="13">
        <v>1.26E-2</v>
      </c>
      <c r="GG10" s="18">
        <v>1.04E-2</v>
      </c>
      <c r="GH10" s="17">
        <v>5.4999999999999997E-3</v>
      </c>
      <c r="GI10" s="17">
        <v>3.3999999999999998E-3</v>
      </c>
      <c r="GJ10" s="17">
        <v>1.1999999999999999E-3</v>
      </c>
      <c r="GK10" s="13">
        <v>6.9999999999999999E-4</v>
      </c>
      <c r="GL10" s="18">
        <v>5.9999999999999995E-4</v>
      </c>
      <c r="GM10" s="18">
        <v>5.0000000000000001E-4</v>
      </c>
      <c r="GN10" s="17">
        <v>5.0000000000000001E-4</v>
      </c>
      <c r="GO10" s="13">
        <v>5.0000000000000001E-4</v>
      </c>
      <c r="GP10" s="13">
        <v>6.9999999999999999E-4</v>
      </c>
      <c r="GQ10" s="13">
        <v>5.9999999999999995E-4</v>
      </c>
      <c r="GR10" s="16">
        <v>5.0000000000000001E-4</v>
      </c>
      <c r="GS10" s="15">
        <v>5.0000000000000001E-4</v>
      </c>
      <c r="GT10" s="14">
        <v>5.0000000000000001E-4</v>
      </c>
      <c r="GU10" s="13">
        <v>5.0000000000000001E-4</v>
      </c>
      <c r="GV10" s="16">
        <v>4.0000000000000002E-4</v>
      </c>
      <c r="GW10" s="15">
        <v>4.0000000000000002E-4</v>
      </c>
      <c r="GX10" s="14">
        <v>4.0000000000000002E-4</v>
      </c>
      <c r="GY10" s="13">
        <v>4.0000000000000002E-4</v>
      </c>
      <c r="GZ10" s="13">
        <v>1.4E-3</v>
      </c>
      <c r="HA10" s="16">
        <v>6.4999999999999997E-3</v>
      </c>
      <c r="HB10" s="16">
        <v>8.0999999999999996E-3</v>
      </c>
      <c r="HC10" s="16">
        <v>1.2500000000000001E-2</v>
      </c>
      <c r="HD10" s="16">
        <v>1.55E-2</v>
      </c>
      <c r="HE10" s="16">
        <v>2.64E-2</v>
      </c>
      <c r="HF10" s="16">
        <v>3.78E-2</v>
      </c>
      <c r="HG10" s="16">
        <v>4.58E-2</v>
      </c>
      <c r="HH10" s="16">
        <v>5.3600000000000002E-2</v>
      </c>
      <c r="HI10" s="16">
        <v>5.7599999999999998E-2</v>
      </c>
      <c r="HJ10" s="16">
        <v>6.1600000000000002E-2</v>
      </c>
      <c r="HK10" s="16">
        <v>6.2100000000000002E-2</v>
      </c>
      <c r="HL10" s="14">
        <v>6.2E-2</v>
      </c>
      <c r="HM10" s="14">
        <v>6.4500000000000002E-2</v>
      </c>
      <c r="HN10" s="14">
        <v>5.9900000000000002E-2</v>
      </c>
      <c r="HO10" s="14">
        <v>5.8900000000000001E-2</v>
      </c>
      <c r="HP10" s="14">
        <v>5.9400000000000001E-2</v>
      </c>
      <c r="HQ10" s="14">
        <v>5.6899999999999999E-2</v>
      </c>
      <c r="HR10" s="14">
        <v>5.7200000000000001E-2</v>
      </c>
      <c r="HS10" s="14">
        <v>5.6800000000000003E-2</v>
      </c>
      <c r="HT10" s="14">
        <v>5.7299999999999997E-2</v>
      </c>
      <c r="HU10" s="14">
        <v>5.6800000000000003E-2</v>
      </c>
      <c r="HV10" s="14">
        <v>5.62E-2</v>
      </c>
      <c r="HW10" s="14">
        <v>4.9200000000000001E-2</v>
      </c>
      <c r="HX10" s="14">
        <v>4.5400000000000003E-2</v>
      </c>
      <c r="HY10" s="13">
        <v>4.5999999999999999E-2</v>
      </c>
      <c r="HZ10" s="16">
        <v>4.2700000000000002E-2</v>
      </c>
      <c r="IA10" s="14">
        <v>4.3999999999999997E-2</v>
      </c>
      <c r="IB10" s="14">
        <v>4.5699999999999998E-2</v>
      </c>
      <c r="IC10" s="13">
        <v>4.2799999999999998E-2</v>
      </c>
      <c r="ID10" s="13">
        <v>4.4900000000000002E-2</v>
      </c>
      <c r="IE10" s="16">
        <v>4.3499999999999997E-2</v>
      </c>
      <c r="IF10" s="15">
        <v>4.3700000000000003E-2</v>
      </c>
      <c r="IG10" s="15">
        <v>4.4999999999999998E-2</v>
      </c>
      <c r="IH10" s="15">
        <v>4.4299999999999999E-2</v>
      </c>
      <c r="II10" s="16">
        <v>4.41E-2</v>
      </c>
      <c r="IJ10" s="16">
        <v>4.3700000000000003E-2</v>
      </c>
      <c r="IK10" s="16">
        <v>4.41E-2</v>
      </c>
      <c r="IL10" s="16">
        <v>4.36E-2</v>
      </c>
      <c r="IM10" s="15">
        <v>4.3299999999999998E-2</v>
      </c>
      <c r="IN10" s="14">
        <v>4.4400000000000002E-2</v>
      </c>
      <c r="IO10" s="13">
        <v>4.5199999999999997E-2</v>
      </c>
      <c r="IP10" s="16">
        <v>4.3900000000000002E-2</v>
      </c>
      <c r="IQ10" s="16">
        <v>4.1799999999999997E-2</v>
      </c>
      <c r="IR10" s="15">
        <v>4.0599999999999997E-2</v>
      </c>
      <c r="IS10" s="15">
        <v>0.04</v>
      </c>
      <c r="IT10" s="15">
        <v>3.7900000000000003E-2</v>
      </c>
      <c r="IU10" s="15">
        <v>3.6999999999999998E-2</v>
      </c>
      <c r="IV10" s="16">
        <v>3.49E-2</v>
      </c>
      <c r="IW10" s="16">
        <v>3.1899999999999998E-2</v>
      </c>
      <c r="IX10" s="16">
        <v>0.03</v>
      </c>
      <c r="IY10" s="14">
        <v>2.9000000000000001E-2</v>
      </c>
      <c r="IZ10" s="13">
        <v>2.9700000000000001E-2</v>
      </c>
      <c r="JA10" s="13">
        <v>2.87E-2</v>
      </c>
      <c r="JB10" s="13">
        <v>2.9399999999999999E-2</v>
      </c>
      <c r="JC10" s="15">
        <v>2.92E-2</v>
      </c>
      <c r="JD10" s="14">
        <v>3.0099999999999998E-2</v>
      </c>
      <c r="JE10" s="13">
        <v>2.98E-2</v>
      </c>
    </row>
    <row r="11" spans="1:265" ht="12.75">
      <c r="A11" s="60"/>
      <c r="B11" s="60"/>
      <c r="C11" s="60"/>
      <c r="D11" s="29" t="s">
        <v>83</v>
      </c>
      <c r="E11" s="20">
        <v>9</v>
      </c>
      <c r="F11" s="19" t="s">
        <v>82</v>
      </c>
      <c r="G11" s="27">
        <v>6.0199999999999997E-2</v>
      </c>
      <c r="H11" s="27">
        <v>5.9400000000000001E-2</v>
      </c>
      <c r="I11" s="27">
        <v>5.6300000000000003E-2</v>
      </c>
      <c r="J11" s="27">
        <v>5.1400000000000001E-2</v>
      </c>
      <c r="K11" s="27">
        <v>4.7699999999999999E-2</v>
      </c>
      <c r="L11" s="27">
        <v>4.65E-2</v>
      </c>
      <c r="M11" s="27">
        <v>4.2200000000000001E-2</v>
      </c>
      <c r="N11" s="27">
        <v>4.1500000000000002E-2</v>
      </c>
      <c r="O11" s="27">
        <v>4.0099999999999997E-2</v>
      </c>
      <c r="P11" s="27">
        <v>4.0300000000000002E-2</v>
      </c>
      <c r="Q11" s="27">
        <v>4.19E-2</v>
      </c>
      <c r="R11" s="27">
        <v>4.1399999999999999E-2</v>
      </c>
      <c r="S11" s="27">
        <v>4.0099999999999997E-2</v>
      </c>
      <c r="T11" s="27">
        <v>3.9100000000000003E-2</v>
      </c>
      <c r="U11" s="27">
        <v>3.7199999999999997E-2</v>
      </c>
      <c r="V11" s="27">
        <v>3.7199999999999997E-2</v>
      </c>
      <c r="W11" s="27">
        <v>3.8199999999999998E-2</v>
      </c>
      <c r="X11" s="27">
        <v>3.7900000000000003E-2</v>
      </c>
      <c r="Y11" s="27">
        <v>3.8100000000000002E-2</v>
      </c>
      <c r="Z11" s="27">
        <v>3.73E-2</v>
      </c>
      <c r="AA11" s="27">
        <v>3.7100000000000001E-2</v>
      </c>
      <c r="AB11" s="27">
        <v>3.8699999999999998E-2</v>
      </c>
      <c r="AC11" s="27">
        <v>3.8199999999999998E-2</v>
      </c>
      <c r="AD11" s="27">
        <v>3.8300000000000001E-2</v>
      </c>
      <c r="AE11" s="27">
        <v>3.8300000000000001E-2</v>
      </c>
      <c r="AF11" s="27">
        <v>3.8199999999999998E-2</v>
      </c>
      <c r="AG11" s="27">
        <v>3.8699999999999998E-2</v>
      </c>
      <c r="AH11" s="27">
        <v>3.9600000000000003E-2</v>
      </c>
      <c r="AI11" s="27">
        <v>3.9699999999999999E-2</v>
      </c>
      <c r="AJ11" s="27">
        <v>4.0800000000000003E-2</v>
      </c>
      <c r="AK11" s="27">
        <v>4.24E-2</v>
      </c>
      <c r="AL11" s="27">
        <v>4.5100000000000001E-2</v>
      </c>
      <c r="AM11" s="27">
        <v>4.5199999999999997E-2</v>
      </c>
      <c r="AN11" s="27">
        <v>4.6300000000000001E-2</v>
      </c>
      <c r="AO11" s="27">
        <v>4.6699999999999998E-2</v>
      </c>
      <c r="AP11" s="27">
        <v>5.0500000000000003E-2</v>
      </c>
      <c r="AQ11" s="27">
        <v>5.0099999999999999E-2</v>
      </c>
      <c r="AR11" s="27">
        <v>5.0999999999999997E-2</v>
      </c>
      <c r="AS11" s="27">
        <v>5.4899999999999997E-2</v>
      </c>
      <c r="AT11" s="27">
        <v>5.6399999999999999E-2</v>
      </c>
      <c r="AU11" s="27">
        <v>5.7299999999999997E-2</v>
      </c>
      <c r="AV11" s="27">
        <v>5.9799999999999999E-2</v>
      </c>
      <c r="AW11" s="27">
        <v>6.1600000000000002E-2</v>
      </c>
      <c r="AX11" s="27">
        <v>6.0299999999999999E-2</v>
      </c>
      <c r="AY11" s="27">
        <v>6.2100000000000002E-2</v>
      </c>
      <c r="AZ11" s="27">
        <v>6.2300000000000001E-2</v>
      </c>
      <c r="BA11" s="27">
        <v>7.1099999999999997E-2</v>
      </c>
      <c r="BB11" s="27">
        <v>6.8400000000000002E-2</v>
      </c>
      <c r="BC11" s="27">
        <v>6.08E-2</v>
      </c>
      <c r="BD11" s="27">
        <v>5.4100000000000002E-2</v>
      </c>
      <c r="BE11" s="27">
        <v>5.0799999999999998E-2</v>
      </c>
      <c r="BF11" s="27">
        <v>4.9200000000000001E-2</v>
      </c>
      <c r="BG11" s="27">
        <v>5.3100000000000001E-2</v>
      </c>
      <c r="BH11" s="27">
        <v>4.8300000000000003E-2</v>
      </c>
      <c r="BI11" s="27">
        <v>4.7600000000000003E-2</v>
      </c>
      <c r="BJ11" s="27">
        <v>4.7199999999999999E-2</v>
      </c>
      <c r="BK11" s="27">
        <v>4.6699999999999998E-2</v>
      </c>
      <c r="BL11" s="27">
        <v>4.8099999999999997E-2</v>
      </c>
      <c r="BM11" s="27">
        <v>4.5600000000000002E-2</v>
      </c>
      <c r="BN11" s="27">
        <v>4.8099999999999997E-2</v>
      </c>
      <c r="BO11" s="27">
        <v>4.6699999999999998E-2</v>
      </c>
      <c r="BP11" s="27">
        <v>4.3900000000000002E-2</v>
      </c>
      <c r="BQ11" s="27">
        <v>4.3499999999999997E-2</v>
      </c>
      <c r="BR11" s="27">
        <v>4.3299999999999998E-2</v>
      </c>
      <c r="BS11" s="27">
        <v>4.0800000000000003E-2</v>
      </c>
      <c r="BT11" s="27">
        <v>4.0599999999999997E-2</v>
      </c>
      <c r="BU11" s="27">
        <v>4.1599999999999998E-2</v>
      </c>
      <c r="BV11" s="27">
        <v>4.1500000000000002E-2</v>
      </c>
      <c r="BW11" s="27">
        <v>4.2500000000000003E-2</v>
      </c>
      <c r="BX11" s="27">
        <v>4.48E-2</v>
      </c>
      <c r="BY11" s="27">
        <v>4.3099999999999999E-2</v>
      </c>
      <c r="BZ11" s="27">
        <v>4.3499999999999997E-2</v>
      </c>
      <c r="CA11" s="27">
        <v>4.3200000000000002E-2</v>
      </c>
      <c r="CB11" s="27">
        <v>4.4299999999999999E-2</v>
      </c>
      <c r="CC11" s="27">
        <v>4.3799999999999999E-2</v>
      </c>
      <c r="CD11" s="27">
        <v>4.4999999999999998E-2</v>
      </c>
      <c r="CE11" s="27">
        <v>4.7300000000000002E-2</v>
      </c>
      <c r="CF11" s="27">
        <v>4.87E-2</v>
      </c>
      <c r="CG11" s="27">
        <v>5.0299999999999997E-2</v>
      </c>
      <c r="CH11" s="27">
        <v>5.28E-2</v>
      </c>
      <c r="CI11" s="27">
        <v>5.4399999999999997E-2</v>
      </c>
      <c r="CJ11" s="27">
        <v>5.5300000000000002E-2</v>
      </c>
      <c r="CK11" s="27">
        <v>5.8299999999999998E-2</v>
      </c>
      <c r="CL11" s="27">
        <v>5.7200000000000001E-2</v>
      </c>
      <c r="CM11" s="27">
        <v>5.3699999999999998E-2</v>
      </c>
      <c r="CN11" s="27">
        <v>5.3999999999999999E-2</v>
      </c>
      <c r="CO11" s="27">
        <v>5.3800000000000001E-2</v>
      </c>
      <c r="CP11" s="27">
        <v>5.2900000000000003E-2</v>
      </c>
      <c r="CQ11" s="27">
        <v>5.5899999999999998E-2</v>
      </c>
      <c r="CR11" s="27">
        <v>5.4899999999999997E-2</v>
      </c>
      <c r="CS11" s="27">
        <v>5.5100000000000003E-2</v>
      </c>
      <c r="CT11" s="27">
        <v>5.4800000000000001E-2</v>
      </c>
      <c r="CU11" s="27">
        <v>5.5E-2</v>
      </c>
      <c r="CV11" s="27">
        <v>5.1900000000000002E-2</v>
      </c>
      <c r="CW11" s="27">
        <v>4.9399999999999999E-2</v>
      </c>
      <c r="CX11" s="27">
        <v>4.5400000000000003E-2</v>
      </c>
      <c r="CY11" s="27">
        <v>4.2999999999999997E-2</v>
      </c>
      <c r="CZ11" s="27">
        <v>4.0800000000000003E-2</v>
      </c>
      <c r="DA11" s="27">
        <v>3.6200000000000003E-2</v>
      </c>
      <c r="DB11" s="27">
        <v>3.4799999999999998E-2</v>
      </c>
      <c r="DC11" s="27">
        <v>3.04E-2</v>
      </c>
      <c r="DD11" s="27">
        <v>2.7699999999999999E-2</v>
      </c>
      <c r="DE11" s="27">
        <v>2.7900000000000001E-2</v>
      </c>
      <c r="DF11" s="27">
        <v>2.7199999999999998E-2</v>
      </c>
      <c r="DG11" s="27">
        <v>2.76E-2</v>
      </c>
      <c r="DH11" s="27">
        <v>2.7900000000000001E-2</v>
      </c>
      <c r="DI11" s="27">
        <v>2.8299999999999999E-2</v>
      </c>
      <c r="DJ11" s="27">
        <v>2.9100000000000001E-2</v>
      </c>
      <c r="DK11" s="27">
        <v>2.8299999999999999E-2</v>
      </c>
      <c r="DL11" s="27">
        <v>2.8400000000000002E-2</v>
      </c>
      <c r="DM11" s="27">
        <v>2.8199999999999999E-2</v>
      </c>
      <c r="DN11" s="27">
        <v>2.87E-2</v>
      </c>
      <c r="DO11" s="27">
        <v>2.6599999999999999E-2</v>
      </c>
      <c r="DP11" s="27">
        <v>2.9600000000000001E-2</v>
      </c>
      <c r="DQ11" s="27">
        <v>2.87E-2</v>
      </c>
      <c r="DR11" s="27">
        <v>2.8299999999999999E-2</v>
      </c>
      <c r="DS11" s="27">
        <v>2.7799999999999998E-2</v>
      </c>
      <c r="DT11" s="27">
        <v>2.5000000000000001E-2</v>
      </c>
      <c r="DU11" s="27">
        <v>2.0899999999999998E-2</v>
      </c>
      <c r="DV11" s="27">
        <v>2.2499999999999999E-2</v>
      </c>
      <c r="DW11" s="27">
        <v>2.1899999999999999E-2</v>
      </c>
      <c r="DX11" s="27">
        <v>2.1600000000000001E-2</v>
      </c>
      <c r="DY11" s="27">
        <v>1.9300000000000001E-2</v>
      </c>
      <c r="DZ11" s="27">
        <v>1.89E-2</v>
      </c>
      <c r="EA11" s="27">
        <v>1.8100000000000002E-2</v>
      </c>
      <c r="EB11" s="27">
        <v>1.9699999999999999E-2</v>
      </c>
      <c r="EC11" s="27">
        <v>1.95E-2</v>
      </c>
      <c r="ED11" s="27">
        <v>1.9900000000000001E-2</v>
      </c>
      <c r="EE11" s="27">
        <v>1.9099999999999999E-2</v>
      </c>
      <c r="EF11" s="27">
        <v>1.95E-2</v>
      </c>
      <c r="EG11" s="27">
        <v>2.0199999999999999E-2</v>
      </c>
      <c r="EH11" s="27">
        <v>1.9E-2</v>
      </c>
      <c r="EI11" s="27">
        <v>1.7899999999999999E-2</v>
      </c>
      <c r="EJ11" s="27">
        <v>1.7899999999999999E-2</v>
      </c>
      <c r="EK11" s="27">
        <v>1.7000000000000001E-2</v>
      </c>
      <c r="EL11" s="27">
        <v>1.72E-2</v>
      </c>
      <c r="EM11" s="27">
        <v>1.6500000000000001E-2</v>
      </c>
      <c r="EN11" s="27">
        <v>1.6E-2</v>
      </c>
      <c r="EO11" s="27">
        <v>1.7000000000000001E-2</v>
      </c>
      <c r="EP11" s="27">
        <v>1.7100000000000001E-2</v>
      </c>
      <c r="EQ11" s="27">
        <v>1.6799999999999999E-2</v>
      </c>
      <c r="ER11" s="27">
        <v>1.7299999999999999E-2</v>
      </c>
      <c r="ES11" s="27">
        <v>1.72E-2</v>
      </c>
      <c r="ET11" s="27">
        <v>1.7100000000000001E-2</v>
      </c>
      <c r="EU11" s="27">
        <v>1.7000000000000001E-2</v>
      </c>
      <c r="EV11" s="27">
        <v>1.7000000000000001E-2</v>
      </c>
      <c r="EW11" s="27">
        <v>1.67E-2</v>
      </c>
      <c r="EX11" s="27">
        <v>1.67E-2</v>
      </c>
      <c r="EY11" s="27">
        <v>1.6899999999999998E-2</v>
      </c>
      <c r="EZ11" s="27">
        <v>1.7000000000000001E-2</v>
      </c>
      <c r="FA11" s="27">
        <v>1.72E-2</v>
      </c>
      <c r="FB11" s="27">
        <v>1.7100000000000001E-2</v>
      </c>
      <c r="FC11" s="27">
        <v>1.7399999999999999E-2</v>
      </c>
      <c r="FD11" s="27">
        <v>1.7100000000000001E-2</v>
      </c>
      <c r="FE11" s="27">
        <v>1.72E-2</v>
      </c>
      <c r="FF11" s="27">
        <v>1.5699999999999999E-2</v>
      </c>
      <c r="FG11" s="27">
        <v>1.7000000000000001E-2</v>
      </c>
      <c r="FH11" s="27">
        <v>1.6899999999999998E-2</v>
      </c>
      <c r="FI11" s="27">
        <v>1.5800000000000002E-2</v>
      </c>
      <c r="FJ11" s="27">
        <v>1.61E-2</v>
      </c>
      <c r="FK11" s="27">
        <v>1.7000000000000001E-2</v>
      </c>
      <c r="FL11" s="27">
        <v>1.7100000000000001E-2</v>
      </c>
      <c r="FM11" s="27">
        <v>1.7100000000000001E-2</v>
      </c>
      <c r="FN11" s="27">
        <v>1.6899999999999998E-2</v>
      </c>
      <c r="FO11" s="27">
        <v>1.6E-2</v>
      </c>
      <c r="FP11" s="27">
        <v>1.6500000000000001E-2</v>
      </c>
      <c r="FQ11" s="27">
        <v>1.5900000000000001E-2</v>
      </c>
      <c r="FR11" s="27">
        <v>1.6500000000000001E-2</v>
      </c>
      <c r="FS11" s="27">
        <v>1.5699999999999999E-2</v>
      </c>
      <c r="FT11" s="27">
        <v>1.6299999999999999E-2</v>
      </c>
      <c r="FU11" s="27">
        <v>1.5299999999999999E-2</v>
      </c>
      <c r="FV11" s="27">
        <v>1.55E-2</v>
      </c>
      <c r="FW11" s="27">
        <v>1.6299999999999999E-2</v>
      </c>
      <c r="FX11" s="27">
        <v>1.52E-2</v>
      </c>
      <c r="FY11" s="27">
        <v>1.47E-2</v>
      </c>
      <c r="FZ11" s="26">
        <v>1.49E-2</v>
      </c>
      <c r="GA11" s="22">
        <v>1.5599999999999999E-2</v>
      </c>
      <c r="GB11" s="22">
        <v>1.52E-2</v>
      </c>
      <c r="GC11" s="22">
        <v>1.49E-2</v>
      </c>
      <c r="GD11" s="22">
        <v>1.2200000000000001E-2</v>
      </c>
      <c r="GE11" s="22">
        <v>1.38E-2</v>
      </c>
      <c r="GF11" s="22">
        <v>1.35E-2</v>
      </c>
      <c r="GG11" s="27">
        <v>1.1599999999999999E-2</v>
      </c>
      <c r="GH11" s="26">
        <v>5.8999999999999999E-3</v>
      </c>
      <c r="GI11" s="26">
        <v>4.1999999999999997E-3</v>
      </c>
      <c r="GJ11" s="26">
        <v>1.1999999999999999E-3</v>
      </c>
      <c r="GK11" s="22">
        <v>1E-3</v>
      </c>
      <c r="GL11" s="27">
        <v>5.9999999999999995E-4</v>
      </c>
      <c r="GM11" s="27">
        <v>5.9999999999999995E-4</v>
      </c>
      <c r="GN11" s="26">
        <v>6.9999999999999999E-4</v>
      </c>
      <c r="GO11" s="22">
        <v>6.9999999999999999E-4</v>
      </c>
      <c r="GP11" s="22">
        <v>5.9999999999999995E-4</v>
      </c>
      <c r="GQ11" s="22">
        <v>6.9999999999999999E-4</v>
      </c>
      <c r="GR11" s="25">
        <v>5.9999999999999995E-4</v>
      </c>
      <c r="GS11" s="24">
        <v>5.0000000000000001E-4</v>
      </c>
      <c r="GT11" s="23">
        <v>5.0000000000000001E-4</v>
      </c>
      <c r="GU11" s="22">
        <v>5.0000000000000001E-4</v>
      </c>
      <c r="GV11" s="25">
        <v>5.0000000000000001E-4</v>
      </c>
      <c r="GW11" s="24">
        <v>4.0000000000000002E-4</v>
      </c>
      <c r="GX11" s="23">
        <v>4.0000000000000002E-4</v>
      </c>
      <c r="GY11" s="22">
        <v>5.9999999999999995E-4</v>
      </c>
      <c r="GZ11" s="22">
        <v>1.1000000000000001E-3</v>
      </c>
      <c r="HA11" s="25">
        <v>6.4000000000000003E-3</v>
      </c>
      <c r="HB11" s="25">
        <v>9.4999999999999998E-3</v>
      </c>
      <c r="HC11" s="25">
        <v>1.3299999999999999E-2</v>
      </c>
      <c r="HD11" s="25">
        <v>1.77E-2</v>
      </c>
      <c r="HE11" s="25">
        <v>2.7400000000000001E-2</v>
      </c>
      <c r="HF11" s="25">
        <v>3.7699999999999997E-2</v>
      </c>
      <c r="HG11" s="25">
        <v>4.8899999999999999E-2</v>
      </c>
      <c r="HH11" s="25">
        <v>5.4199999999999998E-2</v>
      </c>
      <c r="HI11" s="25">
        <v>5.5399999999999998E-2</v>
      </c>
      <c r="HJ11" s="25">
        <v>5.8700000000000002E-2</v>
      </c>
      <c r="HK11" s="25">
        <v>6.0999999999999999E-2</v>
      </c>
      <c r="HL11" s="23">
        <v>6.2100000000000002E-2</v>
      </c>
      <c r="HM11" s="23">
        <v>6.5299999999999997E-2</v>
      </c>
      <c r="HN11" s="23">
        <v>6.5100000000000005E-2</v>
      </c>
      <c r="HO11" s="23">
        <v>6.0499999999999998E-2</v>
      </c>
      <c r="HP11" s="23">
        <v>5.8599999999999999E-2</v>
      </c>
      <c r="HQ11" s="23">
        <v>5.9400000000000001E-2</v>
      </c>
      <c r="HR11" s="23">
        <v>5.5899999999999998E-2</v>
      </c>
      <c r="HS11" s="23">
        <v>5.7000000000000002E-2</v>
      </c>
      <c r="HT11" s="23">
        <v>5.8299999999999998E-2</v>
      </c>
      <c r="HU11" s="23">
        <v>5.6000000000000001E-2</v>
      </c>
      <c r="HV11" s="23">
        <v>5.28E-2</v>
      </c>
      <c r="HW11" s="23">
        <v>4.8000000000000001E-2</v>
      </c>
      <c r="HX11" s="23">
        <v>4.4499999999999998E-2</v>
      </c>
      <c r="HY11" s="22">
        <v>4.3799999999999999E-2</v>
      </c>
      <c r="HZ11" s="25">
        <v>4.4299999999999999E-2</v>
      </c>
      <c r="IA11" s="23">
        <v>4.3200000000000002E-2</v>
      </c>
      <c r="IB11" s="23">
        <v>4.6199999999999998E-2</v>
      </c>
      <c r="IC11" s="22">
        <v>4.6300000000000001E-2</v>
      </c>
      <c r="ID11" s="22">
        <v>4.36E-2</v>
      </c>
      <c r="IE11" s="25">
        <v>4.41E-2</v>
      </c>
      <c r="IF11" s="24">
        <v>4.48E-2</v>
      </c>
      <c r="IG11" s="24">
        <v>4.53E-2</v>
      </c>
      <c r="IH11" s="24">
        <v>4.36E-2</v>
      </c>
      <c r="II11" s="25">
        <v>4.3999999999999997E-2</v>
      </c>
      <c r="IJ11" s="25">
        <v>4.6300000000000001E-2</v>
      </c>
      <c r="IK11" s="25">
        <v>4.3499999999999997E-2</v>
      </c>
      <c r="IL11" s="25">
        <v>4.4600000000000001E-2</v>
      </c>
      <c r="IM11" s="24">
        <v>4.1799999999999997E-2</v>
      </c>
      <c r="IN11" s="23">
        <v>4.4200000000000003E-2</v>
      </c>
      <c r="IO11" s="22">
        <v>4.53E-2</v>
      </c>
      <c r="IP11" s="25">
        <v>4.2000000000000003E-2</v>
      </c>
      <c r="IQ11" s="25">
        <v>3.7699999999999997E-2</v>
      </c>
      <c r="IR11" s="24">
        <v>3.78E-2</v>
      </c>
      <c r="IS11" s="24">
        <v>3.56E-2</v>
      </c>
      <c r="IT11" s="24">
        <v>3.5299999999999998E-2</v>
      </c>
      <c r="IU11" s="24">
        <v>3.5200000000000002E-2</v>
      </c>
      <c r="IV11" s="25">
        <v>3.3700000000000001E-2</v>
      </c>
      <c r="IW11" s="25">
        <v>0.03</v>
      </c>
      <c r="IX11" s="25">
        <v>3.1E-2</v>
      </c>
      <c r="IY11" s="23">
        <v>2.9399999999999999E-2</v>
      </c>
      <c r="IZ11" s="22">
        <v>2.9000000000000001E-2</v>
      </c>
      <c r="JA11" s="22">
        <v>3.0700000000000002E-2</v>
      </c>
      <c r="JB11" s="22">
        <v>2.8899999999999999E-2</v>
      </c>
      <c r="JC11" s="24">
        <v>2.75E-2</v>
      </c>
      <c r="JD11" s="23">
        <v>2.8000000000000001E-2</v>
      </c>
      <c r="JE11" s="22">
        <v>3.0200000000000001E-2</v>
      </c>
    </row>
    <row r="12" spans="1:265" ht="12.75">
      <c r="A12" s="60"/>
      <c r="B12" s="60"/>
      <c r="C12" s="60"/>
      <c r="D12" s="29" t="s">
        <v>81</v>
      </c>
      <c r="E12" s="20">
        <v>10</v>
      </c>
      <c r="F12" s="19" t="s">
        <v>80</v>
      </c>
      <c r="G12" s="18">
        <v>5.5500000000000001E-2</v>
      </c>
      <c r="H12" s="18">
        <v>5.1299999999999998E-2</v>
      </c>
      <c r="I12" s="18">
        <v>5.0599999999999999E-2</v>
      </c>
      <c r="J12" s="18">
        <v>4.8099999999999997E-2</v>
      </c>
      <c r="K12" s="18">
        <v>4.7899999999999998E-2</v>
      </c>
      <c r="L12" s="18">
        <v>4.4400000000000002E-2</v>
      </c>
      <c r="M12" s="18">
        <v>4.0500000000000001E-2</v>
      </c>
      <c r="N12" s="18">
        <v>4.24E-2</v>
      </c>
      <c r="O12" s="18">
        <v>3.7199999999999997E-2</v>
      </c>
      <c r="P12" s="18">
        <v>4.07E-2</v>
      </c>
      <c r="Q12" s="18">
        <v>4.1500000000000002E-2</v>
      </c>
      <c r="R12" s="18">
        <v>4.1300000000000003E-2</v>
      </c>
      <c r="S12" s="18">
        <v>3.7600000000000001E-2</v>
      </c>
      <c r="T12" s="18">
        <v>3.7400000000000003E-2</v>
      </c>
      <c r="U12" s="18">
        <v>3.6400000000000002E-2</v>
      </c>
      <c r="V12" s="18">
        <v>3.78E-2</v>
      </c>
      <c r="W12" s="18">
        <v>3.7199999999999997E-2</v>
      </c>
      <c r="X12" s="18">
        <v>3.7699999999999997E-2</v>
      </c>
      <c r="Y12" s="18">
        <v>3.7100000000000001E-2</v>
      </c>
      <c r="Z12" s="18">
        <v>3.6900000000000002E-2</v>
      </c>
      <c r="AA12" s="18">
        <v>3.7400000000000003E-2</v>
      </c>
      <c r="AB12" s="18">
        <v>3.7499999999999999E-2</v>
      </c>
      <c r="AC12" s="18">
        <v>3.7600000000000001E-2</v>
      </c>
      <c r="AD12" s="18">
        <v>3.5900000000000001E-2</v>
      </c>
      <c r="AE12" s="18">
        <v>3.8300000000000001E-2</v>
      </c>
      <c r="AF12" s="18">
        <v>3.8800000000000001E-2</v>
      </c>
      <c r="AG12" s="18">
        <v>3.8899999999999997E-2</v>
      </c>
      <c r="AH12" s="18">
        <v>4.1300000000000003E-2</v>
      </c>
      <c r="AI12" s="18">
        <v>3.7600000000000001E-2</v>
      </c>
      <c r="AJ12" s="18">
        <v>4.0500000000000001E-2</v>
      </c>
      <c r="AK12" s="18">
        <v>3.95E-2</v>
      </c>
      <c r="AL12" s="18">
        <v>0.04</v>
      </c>
      <c r="AM12" s="18">
        <v>4.0599999999999997E-2</v>
      </c>
      <c r="AN12" s="18">
        <v>3.6900000000000002E-2</v>
      </c>
      <c r="AO12" s="18">
        <v>4.4299999999999999E-2</v>
      </c>
      <c r="AP12" s="18">
        <v>4.9299999999999997E-2</v>
      </c>
      <c r="AQ12" s="18">
        <v>5.0099999999999999E-2</v>
      </c>
      <c r="AR12" s="18">
        <v>4.8800000000000003E-2</v>
      </c>
      <c r="AS12" s="18">
        <v>5.4600000000000003E-2</v>
      </c>
      <c r="AT12" s="18">
        <v>5.2299999999999999E-2</v>
      </c>
      <c r="AU12" s="18">
        <v>5.0900000000000001E-2</v>
      </c>
      <c r="AV12" s="18">
        <v>5.4199999999999998E-2</v>
      </c>
      <c r="AW12" s="18">
        <v>5.3999999999999999E-2</v>
      </c>
      <c r="AX12" s="18">
        <v>5.4199999999999998E-2</v>
      </c>
      <c r="AY12" s="18">
        <v>5.28E-2</v>
      </c>
      <c r="AZ12" s="18">
        <v>5.96E-2</v>
      </c>
      <c r="BA12" s="18">
        <v>6.7900000000000002E-2</v>
      </c>
      <c r="BB12" s="18">
        <v>6.6500000000000004E-2</v>
      </c>
      <c r="BC12" s="18">
        <v>5.9499999999999997E-2</v>
      </c>
      <c r="BD12" s="18">
        <v>5.6399999999999999E-2</v>
      </c>
      <c r="BE12" s="18">
        <v>4.8099999999999997E-2</v>
      </c>
      <c r="BF12" s="18">
        <v>4.6300000000000001E-2</v>
      </c>
      <c r="BG12" s="18">
        <v>4.7699999999999999E-2</v>
      </c>
      <c r="BH12" s="18">
        <v>4.8399999999999999E-2</v>
      </c>
      <c r="BI12" s="18">
        <v>5.0700000000000002E-2</v>
      </c>
      <c r="BJ12" s="18">
        <v>4.8599999999999997E-2</v>
      </c>
      <c r="BK12" s="18">
        <v>4.8500000000000001E-2</v>
      </c>
      <c r="BL12" s="18">
        <v>5.0099999999999999E-2</v>
      </c>
      <c r="BM12" s="18">
        <v>4.8000000000000001E-2</v>
      </c>
      <c r="BN12" s="18">
        <v>4.7100000000000003E-2</v>
      </c>
      <c r="BO12" s="18">
        <v>4.6300000000000001E-2</v>
      </c>
      <c r="BP12" s="18">
        <v>4.6199999999999998E-2</v>
      </c>
      <c r="BQ12" s="18">
        <v>4.4699999999999997E-2</v>
      </c>
      <c r="BR12" s="18">
        <v>4.3299999999999998E-2</v>
      </c>
      <c r="BS12" s="18">
        <v>4.19E-2</v>
      </c>
      <c r="BT12" s="18">
        <v>4.2099999999999999E-2</v>
      </c>
      <c r="BU12" s="18">
        <v>4.3900000000000002E-2</v>
      </c>
      <c r="BV12" s="18">
        <v>4.0599999999999997E-2</v>
      </c>
      <c r="BW12" s="18">
        <v>4.2500000000000003E-2</v>
      </c>
      <c r="BX12" s="18">
        <v>4.6399999999999997E-2</v>
      </c>
      <c r="BY12" s="18">
        <v>4.41E-2</v>
      </c>
      <c r="BZ12" s="18">
        <v>4.4299999999999999E-2</v>
      </c>
      <c r="CA12" s="18">
        <v>4.5699999999999998E-2</v>
      </c>
      <c r="CB12" s="18">
        <v>4.6699999999999998E-2</v>
      </c>
      <c r="CC12" s="18">
        <v>4.6899999999999997E-2</v>
      </c>
      <c r="CD12" s="18">
        <v>4.4900000000000002E-2</v>
      </c>
      <c r="CE12" s="18">
        <v>4.4699999999999997E-2</v>
      </c>
      <c r="CF12" s="18" t="s">
        <v>25</v>
      </c>
      <c r="CG12" s="18">
        <v>4.9599999999999998E-2</v>
      </c>
      <c r="CH12" s="18">
        <v>4.8300000000000003E-2</v>
      </c>
      <c r="CI12" s="18">
        <v>5.3699999999999998E-2</v>
      </c>
      <c r="CJ12" s="18">
        <v>5.0999999999999997E-2</v>
      </c>
      <c r="CK12" s="18">
        <v>5.3999999999999999E-2</v>
      </c>
      <c r="CL12" s="18">
        <v>5.3499999999999999E-2</v>
      </c>
      <c r="CM12" s="18">
        <v>5.3400000000000003E-2</v>
      </c>
      <c r="CN12" s="18">
        <v>5.3900000000000003E-2</v>
      </c>
      <c r="CO12" s="18">
        <v>5.16E-2</v>
      </c>
      <c r="CP12" s="18">
        <v>5.3699999999999998E-2</v>
      </c>
      <c r="CQ12" s="18">
        <v>5.4100000000000002E-2</v>
      </c>
      <c r="CR12" s="18">
        <v>5.2299999999999999E-2</v>
      </c>
      <c r="CS12" s="18">
        <v>5.3999999999999999E-2</v>
      </c>
      <c r="CT12" s="18">
        <v>5.3600000000000002E-2</v>
      </c>
      <c r="CU12" s="18">
        <v>5.2600000000000001E-2</v>
      </c>
      <c r="CV12" s="18">
        <v>5.1900000000000002E-2</v>
      </c>
      <c r="CW12" s="18">
        <v>4.7600000000000003E-2</v>
      </c>
      <c r="CX12" s="18">
        <v>4.48E-2</v>
      </c>
      <c r="CY12" s="18">
        <v>4.2799999999999998E-2</v>
      </c>
      <c r="CZ12" s="18">
        <v>3.8399999999999997E-2</v>
      </c>
      <c r="DA12" s="18">
        <v>3.7499999999999999E-2</v>
      </c>
      <c r="DB12" s="18">
        <v>3.3599999999999998E-2</v>
      </c>
      <c r="DC12" s="18">
        <v>2.93E-2</v>
      </c>
      <c r="DD12" s="18">
        <v>2.7900000000000001E-2</v>
      </c>
      <c r="DE12" s="18">
        <v>2.9100000000000001E-2</v>
      </c>
      <c r="DF12" s="18">
        <v>2.8299999999999999E-2</v>
      </c>
      <c r="DG12" s="18">
        <v>3.09E-2</v>
      </c>
      <c r="DH12" s="18">
        <v>3.1E-2</v>
      </c>
      <c r="DI12" s="18">
        <v>3.0800000000000001E-2</v>
      </c>
      <c r="DJ12" s="18">
        <v>0.03</v>
      </c>
      <c r="DK12" s="18">
        <v>3.0599999999999999E-2</v>
      </c>
      <c r="DL12" s="18">
        <v>3.09E-2</v>
      </c>
      <c r="DM12" s="18">
        <v>3.1E-2</v>
      </c>
      <c r="DN12" s="18">
        <v>3.2000000000000001E-2</v>
      </c>
      <c r="DO12" s="18">
        <v>3.2000000000000001E-2</v>
      </c>
      <c r="DP12" s="18">
        <v>2.7900000000000001E-2</v>
      </c>
      <c r="DQ12" s="18">
        <v>2.8799999999999999E-2</v>
      </c>
      <c r="DR12" s="18">
        <v>2.6800000000000001E-2</v>
      </c>
      <c r="DS12" s="18">
        <v>2.7300000000000001E-2</v>
      </c>
      <c r="DT12" s="18">
        <v>2.1999999999999999E-2</v>
      </c>
      <c r="DU12" s="18">
        <v>2.3E-2</v>
      </c>
      <c r="DV12" s="18">
        <v>2.3099999999999999E-2</v>
      </c>
      <c r="DW12" s="18">
        <v>2.0199999999999999E-2</v>
      </c>
      <c r="DX12" s="18">
        <v>2.0899999999999998E-2</v>
      </c>
      <c r="DY12" s="18">
        <v>1.8200000000000001E-2</v>
      </c>
      <c r="DZ12" s="18">
        <v>1.5599999999999999E-2</v>
      </c>
      <c r="EA12" s="18">
        <v>1.7399999999999999E-2</v>
      </c>
      <c r="EB12" s="18">
        <v>1.9199999999999998E-2</v>
      </c>
      <c r="EC12" s="18">
        <v>1.83E-2</v>
      </c>
      <c r="ED12" s="18">
        <v>1.8800000000000001E-2</v>
      </c>
      <c r="EE12" s="18">
        <v>1.8499999999999999E-2</v>
      </c>
      <c r="EF12" s="18">
        <v>1.9900000000000001E-2</v>
      </c>
      <c r="EG12" s="18">
        <v>2.0500000000000001E-2</v>
      </c>
      <c r="EH12" s="18">
        <v>1.9E-2</v>
      </c>
      <c r="EI12" s="18">
        <v>1.8800000000000001E-2</v>
      </c>
      <c r="EJ12" s="18">
        <v>1.8100000000000002E-2</v>
      </c>
      <c r="EK12" s="18">
        <v>1.7899999999999999E-2</v>
      </c>
      <c r="EL12" s="18">
        <v>1.7899999999999999E-2</v>
      </c>
      <c r="EM12" s="18">
        <v>1.7899999999999999E-2</v>
      </c>
      <c r="EN12" s="18">
        <v>1.7399999999999999E-2</v>
      </c>
      <c r="EO12" s="18">
        <v>1.8100000000000002E-2</v>
      </c>
      <c r="EP12" s="18">
        <v>1.78E-2</v>
      </c>
      <c r="EQ12" s="18">
        <v>1.7999999999999999E-2</v>
      </c>
      <c r="ER12" s="18">
        <v>1.72E-2</v>
      </c>
      <c r="ES12" s="18">
        <v>1.8700000000000001E-2</v>
      </c>
      <c r="ET12" s="18">
        <v>1.8100000000000002E-2</v>
      </c>
      <c r="EU12" s="18">
        <v>1.77E-2</v>
      </c>
      <c r="EV12" s="18">
        <v>1.7000000000000001E-2</v>
      </c>
      <c r="EW12" s="18">
        <v>1.7999999999999999E-2</v>
      </c>
      <c r="EX12" s="18">
        <v>1.7299999999999999E-2</v>
      </c>
      <c r="EY12" s="18">
        <v>1.6500000000000001E-2</v>
      </c>
      <c r="EZ12" s="18">
        <v>1.7399999999999999E-2</v>
      </c>
      <c r="FA12" s="18">
        <v>1.54E-2</v>
      </c>
      <c r="FB12" s="18">
        <v>1.77E-2</v>
      </c>
      <c r="FC12" s="18">
        <v>1.72E-2</v>
      </c>
      <c r="FD12" s="18">
        <v>1.6400000000000001E-2</v>
      </c>
      <c r="FE12" s="18">
        <v>1.72E-2</v>
      </c>
      <c r="FF12" s="18">
        <v>1.7399999999999999E-2</v>
      </c>
      <c r="FG12" s="18">
        <v>1.6899999999999998E-2</v>
      </c>
      <c r="FH12" s="18">
        <v>1.6500000000000001E-2</v>
      </c>
      <c r="FI12" s="18">
        <v>1.7899999999999999E-2</v>
      </c>
      <c r="FJ12" s="18">
        <v>1.7299999999999999E-2</v>
      </c>
      <c r="FK12" s="18">
        <v>1.6899999999999998E-2</v>
      </c>
      <c r="FL12" s="18">
        <v>1.7399999999999999E-2</v>
      </c>
      <c r="FM12" s="18">
        <v>1.7500000000000002E-2</v>
      </c>
      <c r="FN12" s="18">
        <v>1.9E-2</v>
      </c>
      <c r="FO12" s="18">
        <v>1.8599999999999998E-2</v>
      </c>
      <c r="FP12" s="18">
        <v>1.7000000000000001E-2</v>
      </c>
      <c r="FQ12" s="18">
        <v>1.72E-2</v>
      </c>
      <c r="FR12" s="18">
        <v>1.7000000000000001E-2</v>
      </c>
      <c r="FS12" s="18">
        <v>1.5699999999999999E-2</v>
      </c>
      <c r="FT12" s="18">
        <v>1.6299999999999999E-2</v>
      </c>
      <c r="FU12" s="18">
        <v>1.6500000000000001E-2</v>
      </c>
      <c r="FV12" s="18">
        <v>1.37E-2</v>
      </c>
      <c r="FW12" s="18">
        <v>1.61E-2</v>
      </c>
      <c r="FX12" s="18">
        <v>1.4800000000000001E-2</v>
      </c>
      <c r="FY12" s="18">
        <v>1.55E-2</v>
      </c>
      <c r="FZ12" s="17">
        <v>1.55E-2</v>
      </c>
      <c r="GA12" s="13">
        <v>1.6199999999999999E-2</v>
      </c>
      <c r="GB12" s="13">
        <v>1.49E-2</v>
      </c>
      <c r="GC12" s="13">
        <v>1.4999999999999999E-2</v>
      </c>
      <c r="GD12" s="13">
        <v>1.4500000000000001E-2</v>
      </c>
      <c r="GE12" s="13">
        <v>1.4500000000000001E-2</v>
      </c>
      <c r="GF12" s="13">
        <v>1.3100000000000001E-2</v>
      </c>
      <c r="GG12" s="18">
        <v>1.1599999999999999E-2</v>
      </c>
      <c r="GH12" s="17">
        <v>4.8999999999999998E-3</v>
      </c>
      <c r="GI12" s="17">
        <v>4.5999999999999999E-3</v>
      </c>
      <c r="GJ12" s="17">
        <v>1.6999999999999999E-3</v>
      </c>
      <c r="GK12" s="13">
        <v>1.2999999999999999E-3</v>
      </c>
      <c r="GL12" s="18">
        <v>8.0000000000000004E-4</v>
      </c>
      <c r="GM12" s="18">
        <v>6.9999999999999999E-4</v>
      </c>
      <c r="GN12" s="17">
        <v>5.9999999999999995E-4</v>
      </c>
      <c r="GO12" s="13">
        <v>5.0000000000000001E-4</v>
      </c>
      <c r="GP12" s="13">
        <v>8.0000000000000004E-4</v>
      </c>
      <c r="GQ12" s="13">
        <v>5.9999999999999995E-4</v>
      </c>
      <c r="GR12" s="16">
        <v>5.9999999999999995E-4</v>
      </c>
      <c r="GS12" s="15">
        <v>5.9999999999999995E-4</v>
      </c>
      <c r="GT12" s="14">
        <v>4.0000000000000002E-4</v>
      </c>
      <c r="GU12" s="13">
        <v>4.0000000000000002E-4</v>
      </c>
      <c r="GV12" s="16">
        <v>5.0000000000000001E-4</v>
      </c>
      <c r="GW12" s="15">
        <v>5.0000000000000001E-4</v>
      </c>
      <c r="GX12" s="14">
        <v>2.9999999999999997E-4</v>
      </c>
      <c r="GY12" s="13">
        <v>4.0000000000000002E-4</v>
      </c>
      <c r="GZ12" s="13">
        <v>1.6999999999999999E-3</v>
      </c>
      <c r="HA12" s="16">
        <v>3.3E-3</v>
      </c>
      <c r="HB12" s="16">
        <v>1.15E-2</v>
      </c>
      <c r="HC12" s="16">
        <v>1.0699999999999999E-2</v>
      </c>
      <c r="HD12" s="16">
        <v>1.6E-2</v>
      </c>
      <c r="HE12" s="16">
        <v>2.9000000000000001E-2</v>
      </c>
      <c r="HF12" s="16">
        <v>2.7099999999999999E-2</v>
      </c>
      <c r="HG12" s="16">
        <v>3.8199999999999998E-2</v>
      </c>
      <c r="HH12" s="16">
        <v>5.11E-2</v>
      </c>
      <c r="HI12" s="16">
        <v>4.41E-2</v>
      </c>
      <c r="HJ12" s="16">
        <v>4.7699999999999999E-2</v>
      </c>
      <c r="HK12" s="16">
        <v>4.1300000000000003E-2</v>
      </c>
      <c r="HL12" s="14">
        <v>5.0700000000000002E-2</v>
      </c>
      <c r="HM12" s="14">
        <v>5.21E-2</v>
      </c>
      <c r="HN12" s="14">
        <v>5.9299999999999999E-2</v>
      </c>
      <c r="HO12" s="14">
        <v>6.0400000000000002E-2</v>
      </c>
      <c r="HP12" s="14">
        <v>5.6800000000000003E-2</v>
      </c>
      <c r="HQ12" s="14">
        <v>5.9299999999999999E-2</v>
      </c>
      <c r="HR12" s="14">
        <v>5.5399999999999998E-2</v>
      </c>
      <c r="HS12" s="14">
        <v>5.67E-2</v>
      </c>
      <c r="HT12" s="14">
        <v>5.3999999999999999E-2</v>
      </c>
      <c r="HU12" s="14">
        <v>5.3800000000000001E-2</v>
      </c>
      <c r="HV12" s="14">
        <v>5.1900000000000002E-2</v>
      </c>
      <c r="HW12" s="14">
        <v>4.3400000000000001E-2</v>
      </c>
      <c r="HX12" s="14">
        <v>4.2099999999999999E-2</v>
      </c>
      <c r="HY12" s="13">
        <v>4.1200000000000001E-2</v>
      </c>
      <c r="HZ12" s="16">
        <v>3.9399999999999998E-2</v>
      </c>
      <c r="IA12" s="14">
        <v>4.1700000000000001E-2</v>
      </c>
      <c r="IB12" s="14">
        <v>4.2700000000000002E-2</v>
      </c>
      <c r="IC12" s="13">
        <v>4.3299999999999998E-2</v>
      </c>
      <c r="ID12" s="13">
        <v>4.24E-2</v>
      </c>
      <c r="IE12" s="16">
        <v>4.36E-2</v>
      </c>
      <c r="IF12" s="15">
        <v>4.3799999999999999E-2</v>
      </c>
      <c r="IG12" s="15">
        <v>4.3499999999999997E-2</v>
      </c>
      <c r="IH12" s="15">
        <v>4.1399999999999999E-2</v>
      </c>
      <c r="II12" s="16">
        <v>3.8800000000000001E-2</v>
      </c>
      <c r="IJ12" s="16">
        <v>4.3099999999999999E-2</v>
      </c>
      <c r="IK12" s="16">
        <v>4.1700000000000001E-2</v>
      </c>
      <c r="IL12" s="16">
        <v>3.95E-2</v>
      </c>
      <c r="IM12" s="15">
        <v>4.19E-2</v>
      </c>
      <c r="IN12" s="14">
        <v>4.36E-2</v>
      </c>
      <c r="IO12" s="13">
        <v>4.19E-2</v>
      </c>
      <c r="IP12" s="16">
        <v>4.1200000000000001E-2</v>
      </c>
      <c r="IQ12" s="16">
        <v>3.4000000000000002E-2</v>
      </c>
      <c r="IR12" s="15">
        <v>3.2199999999999999E-2</v>
      </c>
      <c r="IS12" s="15">
        <v>3.39E-2</v>
      </c>
      <c r="IT12" s="15">
        <v>3.3700000000000001E-2</v>
      </c>
      <c r="IU12" s="15">
        <v>3.5299999999999998E-2</v>
      </c>
      <c r="IV12" s="16">
        <v>2.92E-2</v>
      </c>
      <c r="IW12" s="16">
        <v>2.9499999999999998E-2</v>
      </c>
      <c r="IX12" s="16">
        <v>2.4400000000000002E-2</v>
      </c>
      <c r="IY12" s="14">
        <v>2.5600000000000001E-2</v>
      </c>
      <c r="IZ12" s="13">
        <v>2.69E-2</v>
      </c>
      <c r="JA12" s="13">
        <v>2.81E-2</v>
      </c>
      <c r="JB12" s="13">
        <v>2.6800000000000001E-2</v>
      </c>
      <c r="JC12" s="15">
        <v>2.8199999999999999E-2</v>
      </c>
      <c r="JD12" s="14">
        <v>2.9499999999999998E-2</v>
      </c>
      <c r="JE12" s="13">
        <v>2.69E-2</v>
      </c>
    </row>
    <row r="13" spans="1:265" ht="12.75">
      <c r="A13" s="60"/>
      <c r="B13" s="60"/>
      <c r="C13" s="60"/>
      <c r="D13" s="29" t="s">
        <v>79</v>
      </c>
      <c r="E13" s="20">
        <v>11</v>
      </c>
      <c r="F13" s="19" t="s">
        <v>78</v>
      </c>
      <c r="G13" s="27">
        <v>5.3699999999999998E-2</v>
      </c>
      <c r="H13" s="27">
        <v>5.1200000000000002E-2</v>
      </c>
      <c r="I13" s="27">
        <v>4.82E-2</v>
      </c>
      <c r="J13" s="27">
        <v>4.9200000000000001E-2</v>
      </c>
      <c r="K13" s="27">
        <v>4.7300000000000002E-2</v>
      </c>
      <c r="L13" s="27">
        <v>4.1799999999999997E-2</v>
      </c>
      <c r="M13" s="27">
        <v>4.0300000000000002E-2</v>
      </c>
      <c r="N13" s="27">
        <v>3.8100000000000002E-2</v>
      </c>
      <c r="O13" s="27">
        <v>3.8399999999999997E-2</v>
      </c>
      <c r="P13" s="27">
        <v>3.27E-2</v>
      </c>
      <c r="Q13" s="27">
        <v>4.0500000000000001E-2</v>
      </c>
      <c r="R13" s="27">
        <v>0.04</v>
      </c>
      <c r="S13" s="27">
        <v>3.7900000000000003E-2</v>
      </c>
      <c r="T13" s="27">
        <v>3.3099999999999997E-2</v>
      </c>
      <c r="U13" s="27">
        <v>3.1199999999999999E-2</v>
      </c>
      <c r="V13" s="27">
        <v>2.4199999999999999E-2</v>
      </c>
      <c r="W13" s="27">
        <v>2.5700000000000001E-2</v>
      </c>
      <c r="X13" s="27">
        <v>3.32E-2</v>
      </c>
      <c r="Y13" s="27">
        <v>3.6299999999999999E-2</v>
      </c>
      <c r="Z13" s="27">
        <v>3.5200000000000002E-2</v>
      </c>
      <c r="AA13" s="27">
        <v>3.7600000000000001E-2</v>
      </c>
      <c r="AB13" s="27">
        <v>3.32E-2</v>
      </c>
      <c r="AC13" s="27">
        <v>3.5299999999999998E-2</v>
      </c>
      <c r="AD13" s="27">
        <v>1.7600000000000001E-2</v>
      </c>
      <c r="AE13" s="27">
        <v>3.7600000000000001E-2</v>
      </c>
      <c r="AF13" s="27">
        <v>1.0800000000000001E-2</v>
      </c>
      <c r="AG13" s="27">
        <v>3.7999999999999999E-2</v>
      </c>
      <c r="AH13" s="27">
        <v>1.5800000000000002E-2</v>
      </c>
      <c r="AI13" s="27">
        <v>3.7400000000000003E-2</v>
      </c>
      <c r="AJ13" s="27">
        <v>3.7999999999999999E-2</v>
      </c>
      <c r="AK13" s="27">
        <v>3.8600000000000002E-2</v>
      </c>
      <c r="AL13" s="27">
        <v>4.1599999999999998E-2</v>
      </c>
      <c r="AM13" s="27">
        <v>4.1399999999999999E-2</v>
      </c>
      <c r="AN13" s="27">
        <v>4.3499999999999997E-2</v>
      </c>
      <c r="AO13" s="27">
        <v>2.01E-2</v>
      </c>
      <c r="AP13" s="27">
        <v>1.8800000000000001E-2</v>
      </c>
      <c r="AQ13" s="27">
        <v>4.7199999999999999E-2</v>
      </c>
      <c r="AR13" s="27">
        <v>4.8099999999999997E-2</v>
      </c>
      <c r="AS13" s="27">
        <v>2.4500000000000001E-2</v>
      </c>
      <c r="AT13" s="27">
        <v>3.2899999999999999E-2</v>
      </c>
      <c r="AU13" s="27">
        <v>3.1099999999999999E-2</v>
      </c>
      <c r="AV13" s="27">
        <v>2.75E-2</v>
      </c>
      <c r="AW13" s="27">
        <v>5.3600000000000002E-2</v>
      </c>
      <c r="AX13" s="27">
        <v>3.2399999999999998E-2</v>
      </c>
      <c r="AY13" s="27">
        <v>5.2900000000000003E-2</v>
      </c>
      <c r="AZ13" s="27">
        <v>5.67E-2</v>
      </c>
      <c r="BA13" s="27">
        <v>6.0900000000000003E-2</v>
      </c>
      <c r="BB13" s="27">
        <v>6.5500000000000003E-2</v>
      </c>
      <c r="BC13" s="27">
        <v>4.9000000000000002E-2</v>
      </c>
      <c r="BD13" s="27">
        <v>4.6800000000000001E-2</v>
      </c>
      <c r="BE13" s="27">
        <v>3.8300000000000001E-2</v>
      </c>
      <c r="BF13" s="27">
        <v>4.4499999999999998E-2</v>
      </c>
      <c r="BG13" s="27">
        <v>3.2500000000000001E-2</v>
      </c>
      <c r="BH13" s="27">
        <v>4.02E-2</v>
      </c>
      <c r="BI13" s="27">
        <v>4.3799999999999999E-2</v>
      </c>
      <c r="BJ13" s="27">
        <v>3.6900000000000002E-2</v>
      </c>
      <c r="BK13" s="27">
        <v>3.44E-2</v>
      </c>
      <c r="BL13" s="27">
        <v>4.07E-2</v>
      </c>
      <c r="BM13" s="27">
        <v>3.7199999999999997E-2</v>
      </c>
      <c r="BN13" s="27">
        <v>4.6100000000000002E-2</v>
      </c>
      <c r="BO13" s="27">
        <v>4.1200000000000001E-2</v>
      </c>
      <c r="BP13" s="27">
        <v>4.7E-2</v>
      </c>
      <c r="BQ13" s="27">
        <v>3.3000000000000002E-2</v>
      </c>
      <c r="BR13" s="27">
        <v>4.2099999999999999E-2</v>
      </c>
      <c r="BS13" s="27">
        <v>4.3200000000000002E-2</v>
      </c>
      <c r="BT13" s="27">
        <v>4.8300000000000003E-2</v>
      </c>
      <c r="BU13" s="27">
        <v>4.4699999999999997E-2</v>
      </c>
      <c r="BV13" s="27">
        <v>4.7500000000000001E-2</v>
      </c>
      <c r="BW13" s="27">
        <v>3.7999999999999999E-2</v>
      </c>
      <c r="BX13" s="27">
        <v>4.9299999999999997E-2</v>
      </c>
      <c r="BY13" s="27">
        <v>4.4200000000000003E-2</v>
      </c>
      <c r="BZ13" s="27">
        <v>4.2099999999999999E-2</v>
      </c>
      <c r="CA13" s="27">
        <v>4.6300000000000001E-2</v>
      </c>
      <c r="CB13" s="27">
        <v>4.5699999999999998E-2</v>
      </c>
      <c r="CC13" s="27">
        <v>4.6199999999999998E-2</v>
      </c>
      <c r="CD13" s="27" t="s">
        <v>25</v>
      </c>
      <c r="CE13" s="27">
        <v>4.65E-2</v>
      </c>
      <c r="CF13" s="27">
        <v>4.4999999999999998E-2</v>
      </c>
      <c r="CG13" s="27">
        <v>4.6199999999999998E-2</v>
      </c>
      <c r="CH13" s="27">
        <v>4.58E-2</v>
      </c>
      <c r="CI13" s="27">
        <v>4.2599999999999999E-2</v>
      </c>
      <c r="CJ13" s="27">
        <v>5.4699999999999999E-2</v>
      </c>
      <c r="CK13" s="27">
        <v>4.6699999999999998E-2</v>
      </c>
      <c r="CL13" s="27">
        <v>5.1299999999999998E-2</v>
      </c>
      <c r="CM13" s="27">
        <v>4.3999999999999997E-2</v>
      </c>
      <c r="CN13" s="27">
        <v>4.5199999999999997E-2</v>
      </c>
      <c r="CO13" s="27">
        <v>4.82E-2</v>
      </c>
      <c r="CP13" s="27">
        <v>4.3700000000000003E-2</v>
      </c>
      <c r="CQ13" s="27">
        <v>5.5899999999999998E-2</v>
      </c>
      <c r="CR13" s="27">
        <v>5.5599999999999997E-2</v>
      </c>
      <c r="CS13" s="27">
        <v>5.3199999999999997E-2</v>
      </c>
      <c r="CT13" s="27">
        <v>5.0299999999999997E-2</v>
      </c>
      <c r="CU13" s="27" t="s">
        <v>25</v>
      </c>
      <c r="CV13" s="27">
        <v>0.05</v>
      </c>
      <c r="CW13" s="27">
        <v>4.1599999999999998E-2</v>
      </c>
      <c r="CX13" s="27">
        <v>4.1000000000000002E-2</v>
      </c>
      <c r="CY13" s="27">
        <v>3.8100000000000002E-2</v>
      </c>
      <c r="CZ13" s="27">
        <v>3.7400000000000003E-2</v>
      </c>
      <c r="DA13" s="27">
        <v>3.3500000000000002E-2</v>
      </c>
      <c r="DB13" s="27">
        <v>3.1800000000000002E-2</v>
      </c>
      <c r="DC13" s="27">
        <v>2.98E-2</v>
      </c>
      <c r="DD13" s="27" t="s">
        <v>25</v>
      </c>
      <c r="DE13" s="27" t="s">
        <v>25</v>
      </c>
      <c r="DF13" s="27">
        <v>2.6599999999999999E-2</v>
      </c>
      <c r="DG13" s="27">
        <v>2.5499999999999998E-2</v>
      </c>
      <c r="DH13" s="27">
        <v>2.5399999999999999E-2</v>
      </c>
      <c r="DI13" s="27" t="s">
        <v>25</v>
      </c>
      <c r="DJ13" s="27">
        <v>2.6499999999999999E-2</v>
      </c>
      <c r="DK13" s="27">
        <v>2.5600000000000001E-2</v>
      </c>
      <c r="DL13" s="27">
        <v>2.46E-2</v>
      </c>
      <c r="DM13" s="27">
        <v>2.8299999999999999E-2</v>
      </c>
      <c r="DN13" s="27">
        <v>2.24E-2</v>
      </c>
      <c r="DO13" s="27">
        <v>2.75E-2</v>
      </c>
      <c r="DP13" s="27">
        <v>2.4500000000000001E-2</v>
      </c>
      <c r="DQ13" s="27">
        <v>2.2499999999999999E-2</v>
      </c>
      <c r="DR13" s="27">
        <v>2.2499999999999999E-2</v>
      </c>
      <c r="DS13" s="27">
        <v>2.0799999999999999E-2</v>
      </c>
      <c r="DT13" s="27">
        <v>1.7899999999999999E-2</v>
      </c>
      <c r="DU13" s="27">
        <v>1.61E-2</v>
      </c>
      <c r="DV13" s="27">
        <v>1.77E-2</v>
      </c>
      <c r="DW13" s="27">
        <v>1.6500000000000001E-2</v>
      </c>
      <c r="DX13" s="27">
        <v>1.6799999999999999E-2</v>
      </c>
      <c r="DY13" s="27">
        <v>1.7299999999999999E-2</v>
      </c>
      <c r="DZ13" s="27">
        <v>1.47E-2</v>
      </c>
      <c r="EA13" s="27">
        <v>1.47E-2</v>
      </c>
      <c r="EB13" s="27">
        <v>1.6899999999999998E-2</v>
      </c>
      <c r="EC13" s="27">
        <v>1.26E-2</v>
      </c>
      <c r="ED13" s="27">
        <v>1.4E-2</v>
      </c>
      <c r="EE13" s="27">
        <v>1.2E-2</v>
      </c>
      <c r="EF13" s="27">
        <v>1.1599999999999999E-2</v>
      </c>
      <c r="EG13" s="27">
        <v>1.2800000000000001E-2</v>
      </c>
      <c r="EH13" s="27">
        <v>1.7399999999999999E-2</v>
      </c>
      <c r="EI13" s="27">
        <v>1.4500000000000001E-2</v>
      </c>
      <c r="EJ13" s="27">
        <v>1.47E-2</v>
      </c>
      <c r="EK13" s="27">
        <v>1.4E-2</v>
      </c>
      <c r="EL13" s="27">
        <v>1.49E-2</v>
      </c>
      <c r="EM13" s="27">
        <v>1.7500000000000002E-2</v>
      </c>
      <c r="EN13" s="27">
        <v>1.35E-2</v>
      </c>
      <c r="EO13" s="27">
        <v>1.8200000000000001E-2</v>
      </c>
      <c r="EP13" s="27">
        <v>1.44E-2</v>
      </c>
      <c r="EQ13" s="27" t="s">
        <v>25</v>
      </c>
      <c r="ER13" s="27">
        <v>1.7899999999999999E-2</v>
      </c>
      <c r="ES13" s="27">
        <v>1.7500000000000002E-2</v>
      </c>
      <c r="ET13" s="27">
        <v>1.61E-2</v>
      </c>
      <c r="EU13" s="27">
        <v>1.6199999999999999E-2</v>
      </c>
      <c r="EV13" s="27">
        <v>1.6299999999999999E-2</v>
      </c>
      <c r="EW13" s="27" t="s">
        <v>25</v>
      </c>
      <c r="EX13" s="27" t="s">
        <v>25</v>
      </c>
      <c r="EY13" s="27" t="s">
        <v>25</v>
      </c>
      <c r="EZ13" s="27" t="s">
        <v>25</v>
      </c>
      <c r="FA13" s="27" t="s">
        <v>25</v>
      </c>
      <c r="FB13" s="27" t="s">
        <v>25</v>
      </c>
      <c r="FC13" s="27" t="s">
        <v>25</v>
      </c>
      <c r="FD13" s="27" t="s">
        <v>25</v>
      </c>
      <c r="FE13" s="27">
        <v>1.46E-2</v>
      </c>
      <c r="FF13" s="27">
        <v>1.4999999999999999E-2</v>
      </c>
      <c r="FG13" s="27">
        <v>1.49E-2</v>
      </c>
      <c r="FH13" s="27">
        <v>1.06E-2</v>
      </c>
      <c r="FI13" s="27">
        <v>1.3100000000000001E-2</v>
      </c>
      <c r="FJ13" s="27">
        <v>1.23E-2</v>
      </c>
      <c r="FK13" s="27">
        <v>1.3100000000000001E-2</v>
      </c>
      <c r="FL13" s="27">
        <v>1.29E-2</v>
      </c>
      <c r="FM13" s="27">
        <v>1.55E-2</v>
      </c>
      <c r="FN13" s="27">
        <v>1.09E-2</v>
      </c>
      <c r="FO13" s="27">
        <v>1.4E-2</v>
      </c>
      <c r="FP13" s="27">
        <v>1.34E-2</v>
      </c>
      <c r="FQ13" s="27">
        <v>1.2800000000000001E-2</v>
      </c>
      <c r="FR13" s="27">
        <v>1.6E-2</v>
      </c>
      <c r="FS13" s="27">
        <v>1.7299999999999999E-2</v>
      </c>
      <c r="FT13" s="27">
        <v>1.35E-2</v>
      </c>
      <c r="FU13" s="27">
        <v>1.09E-2</v>
      </c>
      <c r="FV13" s="27">
        <v>1.2800000000000001E-2</v>
      </c>
      <c r="FW13" s="27">
        <v>1.5100000000000001E-2</v>
      </c>
      <c r="FX13" s="27">
        <v>1.2800000000000001E-2</v>
      </c>
      <c r="FY13" s="27">
        <v>1.0999999999999999E-2</v>
      </c>
      <c r="FZ13" s="26">
        <v>1.26E-2</v>
      </c>
      <c r="GA13" s="22">
        <v>9.9000000000000008E-3</v>
      </c>
      <c r="GB13" s="22">
        <v>0.01</v>
      </c>
      <c r="GC13" s="22">
        <v>1.0500000000000001E-2</v>
      </c>
      <c r="GD13" s="22">
        <v>1.0800000000000001E-2</v>
      </c>
      <c r="GE13" s="22">
        <v>1.1599999999999999E-2</v>
      </c>
      <c r="GF13" s="22">
        <v>7.0000000000000001E-3</v>
      </c>
      <c r="GG13" s="27" t="s">
        <v>25</v>
      </c>
      <c r="GH13" s="26">
        <v>3.7000000000000002E-3</v>
      </c>
      <c r="GI13" s="26">
        <v>2.3999999999999998E-3</v>
      </c>
      <c r="GJ13" s="26">
        <v>5.0000000000000001E-4</v>
      </c>
      <c r="GK13" s="22">
        <v>1E-3</v>
      </c>
      <c r="GL13" s="27">
        <v>5.0000000000000001E-4</v>
      </c>
      <c r="GM13" s="27">
        <v>4.0000000000000002E-4</v>
      </c>
      <c r="GN13" s="26">
        <v>1.6000000000000001E-3</v>
      </c>
      <c r="GO13" s="22">
        <v>4.0000000000000002E-4</v>
      </c>
      <c r="GP13" s="22">
        <v>5.0000000000000001E-4</v>
      </c>
      <c r="GQ13" s="22" t="s">
        <v>25</v>
      </c>
      <c r="GR13" s="25">
        <v>2.9999999999999997E-4</v>
      </c>
      <c r="GS13" s="24">
        <v>2.9999999999999997E-4</v>
      </c>
      <c r="GT13" s="23" t="s">
        <v>25</v>
      </c>
      <c r="GU13" s="22">
        <v>5.9999999999999995E-4</v>
      </c>
      <c r="GV13" s="25">
        <v>6.9999999999999999E-4</v>
      </c>
      <c r="GW13" s="24">
        <v>5.9999999999999995E-4</v>
      </c>
      <c r="GX13" s="23" t="s">
        <v>25</v>
      </c>
      <c r="GY13" s="22">
        <v>2.0000000000000001E-4</v>
      </c>
      <c r="GZ13" s="22">
        <v>2.9999999999999997E-4</v>
      </c>
      <c r="HA13" s="25">
        <v>8.9999999999999998E-4</v>
      </c>
      <c r="HB13" s="25">
        <v>6.7000000000000002E-3</v>
      </c>
      <c r="HC13" s="25">
        <v>8.0999999999999996E-3</v>
      </c>
      <c r="HD13" s="25">
        <v>7.1000000000000004E-3</v>
      </c>
      <c r="HE13" s="25">
        <v>8.0999999999999996E-3</v>
      </c>
      <c r="HF13" s="25">
        <v>2.23E-2</v>
      </c>
      <c r="HG13" s="25">
        <v>1.9800000000000002E-2</v>
      </c>
      <c r="HH13" s="25">
        <v>2.3599999999999999E-2</v>
      </c>
      <c r="HI13" s="25">
        <v>4.3299999999999998E-2</v>
      </c>
      <c r="HJ13" s="25">
        <v>1.9699999999999999E-2</v>
      </c>
      <c r="HK13" s="25">
        <v>3.9699999999999999E-2</v>
      </c>
      <c r="HL13" s="23">
        <v>2.81E-2</v>
      </c>
      <c r="HM13" s="23">
        <v>4.3499999999999997E-2</v>
      </c>
      <c r="HN13" s="23">
        <v>4.5100000000000001E-2</v>
      </c>
      <c r="HO13" s="23">
        <v>5.2499999999999998E-2</v>
      </c>
      <c r="HP13" s="23">
        <v>2.9100000000000001E-2</v>
      </c>
      <c r="HQ13" s="23">
        <v>5.2900000000000003E-2</v>
      </c>
      <c r="HR13" s="23">
        <v>5.0099999999999999E-2</v>
      </c>
      <c r="HS13" s="23">
        <v>4.7600000000000003E-2</v>
      </c>
      <c r="HT13" s="23">
        <v>4.8300000000000003E-2</v>
      </c>
      <c r="HU13" s="23">
        <v>3.6600000000000001E-2</v>
      </c>
      <c r="HV13" s="23" t="s">
        <v>25</v>
      </c>
      <c r="HW13" s="23">
        <v>2.81E-2</v>
      </c>
      <c r="HX13" s="23">
        <v>3.9300000000000002E-2</v>
      </c>
      <c r="HY13" s="22">
        <v>3.1399999999999997E-2</v>
      </c>
      <c r="HZ13" s="25">
        <v>3.6299999999999999E-2</v>
      </c>
      <c r="IA13" s="23">
        <v>3.39E-2</v>
      </c>
      <c r="IB13" s="23">
        <v>3.2000000000000001E-2</v>
      </c>
      <c r="IC13" s="22">
        <v>3.8399999999999997E-2</v>
      </c>
      <c r="ID13" s="22">
        <v>3.6200000000000003E-2</v>
      </c>
      <c r="IE13" s="25">
        <v>4.0800000000000003E-2</v>
      </c>
      <c r="IF13" s="24">
        <v>4.0300000000000002E-2</v>
      </c>
      <c r="IG13" s="24">
        <v>3.9800000000000002E-2</v>
      </c>
      <c r="IH13" s="24">
        <v>3.32E-2</v>
      </c>
      <c r="II13" s="25">
        <v>3.44E-2</v>
      </c>
      <c r="IJ13" s="25">
        <v>2.9399999999999999E-2</v>
      </c>
      <c r="IK13" s="25">
        <v>2.63E-2</v>
      </c>
      <c r="IL13" s="25">
        <v>3.3599999999999998E-2</v>
      </c>
      <c r="IM13" s="24">
        <v>3.4500000000000003E-2</v>
      </c>
      <c r="IN13" s="23">
        <v>2.6800000000000001E-2</v>
      </c>
      <c r="IO13" s="22">
        <v>3.1399999999999997E-2</v>
      </c>
      <c r="IP13" s="25">
        <v>2.8000000000000001E-2</v>
      </c>
      <c r="IQ13" s="25">
        <v>2.46E-2</v>
      </c>
      <c r="IR13" s="24">
        <v>2.8400000000000002E-2</v>
      </c>
      <c r="IS13" s="24">
        <v>2.9499999999999998E-2</v>
      </c>
      <c r="IT13" s="24">
        <v>2.9399999999999999E-2</v>
      </c>
      <c r="IU13" s="24">
        <v>2.4199999999999999E-2</v>
      </c>
      <c r="IV13" s="25">
        <v>2.8799999999999999E-2</v>
      </c>
      <c r="IW13" s="25">
        <v>2.5499999999999998E-2</v>
      </c>
      <c r="IX13" s="25">
        <v>2.1000000000000001E-2</v>
      </c>
      <c r="IY13" s="23">
        <v>2.8000000000000001E-2</v>
      </c>
      <c r="IZ13" s="22">
        <v>2.7900000000000001E-2</v>
      </c>
      <c r="JA13" s="22">
        <v>2.2200000000000001E-2</v>
      </c>
      <c r="JB13" s="22">
        <v>2.64E-2</v>
      </c>
      <c r="JC13" s="24">
        <v>1.0699999999999999E-2</v>
      </c>
      <c r="JD13" s="23">
        <v>3.2199999999999999E-2</v>
      </c>
      <c r="JE13" s="22">
        <v>2.6200000000000001E-2</v>
      </c>
    </row>
    <row r="14" spans="1:265" ht="12.75">
      <c r="A14" s="60"/>
      <c r="B14" s="60"/>
      <c r="C14" s="60"/>
      <c r="D14" s="21" t="s">
        <v>19</v>
      </c>
      <c r="E14" s="20">
        <v>12</v>
      </c>
      <c r="F14" s="19" t="s">
        <v>77</v>
      </c>
      <c r="G14" s="18">
        <v>5.6800000000000003E-2</v>
      </c>
      <c r="H14" s="18">
        <v>5.5199999999999999E-2</v>
      </c>
      <c r="I14" s="18">
        <v>5.7200000000000001E-2</v>
      </c>
      <c r="J14" s="18">
        <v>5.2400000000000002E-2</v>
      </c>
      <c r="K14" s="18">
        <v>4.8300000000000003E-2</v>
      </c>
      <c r="L14" s="18">
        <v>4.6100000000000002E-2</v>
      </c>
      <c r="M14" s="18">
        <v>4.3400000000000001E-2</v>
      </c>
      <c r="N14" s="18">
        <v>4.1700000000000001E-2</v>
      </c>
      <c r="O14" s="18">
        <v>4.0399999999999998E-2</v>
      </c>
      <c r="P14" s="18">
        <v>4.0300000000000002E-2</v>
      </c>
      <c r="Q14" s="18">
        <v>0.04</v>
      </c>
      <c r="R14" s="18">
        <v>3.78E-2</v>
      </c>
      <c r="S14" s="18">
        <v>3.9100000000000003E-2</v>
      </c>
      <c r="T14" s="18">
        <v>3.7400000000000003E-2</v>
      </c>
      <c r="U14" s="18">
        <v>3.5900000000000001E-2</v>
      </c>
      <c r="V14" s="18">
        <v>3.5700000000000003E-2</v>
      </c>
      <c r="W14" s="18">
        <v>3.5999999999999997E-2</v>
      </c>
      <c r="X14" s="18">
        <v>3.5299999999999998E-2</v>
      </c>
      <c r="Y14" s="18">
        <v>3.5900000000000001E-2</v>
      </c>
      <c r="Z14" s="18">
        <v>3.5700000000000003E-2</v>
      </c>
      <c r="AA14" s="18">
        <v>3.5299999999999998E-2</v>
      </c>
      <c r="AB14" s="18">
        <v>3.5999999999999997E-2</v>
      </c>
      <c r="AC14" s="18">
        <v>3.5299999999999998E-2</v>
      </c>
      <c r="AD14" s="18">
        <v>3.49E-2</v>
      </c>
      <c r="AE14" s="18">
        <v>3.5499999999999997E-2</v>
      </c>
      <c r="AF14" s="18">
        <v>3.5799999999999998E-2</v>
      </c>
      <c r="AG14" s="18">
        <v>3.5799999999999998E-2</v>
      </c>
      <c r="AH14" s="18">
        <v>3.5400000000000001E-2</v>
      </c>
      <c r="AI14" s="18">
        <v>3.85E-2</v>
      </c>
      <c r="AJ14" s="18">
        <v>3.95E-2</v>
      </c>
      <c r="AK14" s="18">
        <v>4.1200000000000001E-2</v>
      </c>
      <c r="AL14" s="18">
        <v>4.1000000000000002E-2</v>
      </c>
      <c r="AM14" s="18">
        <v>4.24E-2</v>
      </c>
      <c r="AN14" s="18">
        <v>4.5100000000000001E-2</v>
      </c>
      <c r="AO14" s="18">
        <v>4.58E-2</v>
      </c>
      <c r="AP14" s="18">
        <v>4.2299999999999997E-2</v>
      </c>
      <c r="AQ14" s="18">
        <v>4.7399999999999998E-2</v>
      </c>
      <c r="AR14" s="18">
        <v>4.9700000000000001E-2</v>
      </c>
      <c r="AS14" s="18">
        <v>5.2999999999999999E-2</v>
      </c>
      <c r="AT14" s="18">
        <v>5.5199999999999999E-2</v>
      </c>
      <c r="AU14" s="18">
        <v>5.3900000000000003E-2</v>
      </c>
      <c r="AV14" s="18">
        <v>5.5599999999999997E-2</v>
      </c>
      <c r="AW14" s="18">
        <v>5.6099999999999997E-2</v>
      </c>
      <c r="AX14" s="18">
        <v>5.5800000000000002E-2</v>
      </c>
      <c r="AY14" s="18">
        <v>5.5800000000000002E-2</v>
      </c>
      <c r="AZ14" s="18">
        <v>5.7000000000000002E-2</v>
      </c>
      <c r="BA14" s="18">
        <v>5.5399999999999998E-2</v>
      </c>
      <c r="BB14" s="18">
        <v>5.6000000000000001E-2</v>
      </c>
      <c r="BC14" s="18">
        <v>4.8800000000000003E-2</v>
      </c>
      <c r="BD14" s="18">
        <v>4.02E-2</v>
      </c>
      <c r="BE14" s="18">
        <v>3.4299999999999997E-2</v>
      </c>
      <c r="BF14" s="18">
        <v>3.3300000000000003E-2</v>
      </c>
      <c r="BG14" s="18">
        <v>3.4700000000000002E-2</v>
      </c>
      <c r="BH14" s="18">
        <v>3.2899999999999999E-2</v>
      </c>
      <c r="BI14" s="18">
        <v>3.0800000000000001E-2</v>
      </c>
      <c r="BJ14" s="18">
        <v>2.98E-2</v>
      </c>
      <c r="BK14" s="18">
        <v>3.0200000000000001E-2</v>
      </c>
      <c r="BL14" s="18">
        <v>3.0099999999999998E-2</v>
      </c>
      <c r="BM14" s="18">
        <v>3.0800000000000001E-2</v>
      </c>
      <c r="BN14" s="18">
        <v>2.9899999999999999E-2</v>
      </c>
      <c r="BO14" s="18">
        <v>2.92E-2</v>
      </c>
      <c r="BP14" s="18">
        <v>2.93E-2</v>
      </c>
      <c r="BQ14" s="18">
        <v>2.9399999999999999E-2</v>
      </c>
      <c r="BR14" s="18">
        <v>2.9700000000000001E-2</v>
      </c>
      <c r="BS14" s="18">
        <v>3.0499999999999999E-2</v>
      </c>
      <c r="BT14" s="18">
        <v>3.0499999999999999E-2</v>
      </c>
      <c r="BU14" s="18">
        <v>2.92E-2</v>
      </c>
      <c r="BV14" s="18">
        <v>3.0200000000000001E-2</v>
      </c>
      <c r="BW14" s="18">
        <v>3.09E-2</v>
      </c>
      <c r="BX14" s="18">
        <v>3.1099999999999999E-2</v>
      </c>
      <c r="BY14" s="18">
        <v>3.0499999999999999E-2</v>
      </c>
      <c r="BZ14" s="18">
        <v>3.0499999999999999E-2</v>
      </c>
      <c r="CA14" s="18">
        <v>3.0099999999999998E-2</v>
      </c>
      <c r="CB14" s="18">
        <v>3.1699999999999999E-2</v>
      </c>
      <c r="CC14" s="18">
        <v>3.3599999999999998E-2</v>
      </c>
      <c r="CD14" s="18">
        <v>3.4599999999999999E-2</v>
      </c>
      <c r="CE14" s="18">
        <v>3.5099999999999999E-2</v>
      </c>
      <c r="CF14" s="18">
        <v>3.9899999999999998E-2</v>
      </c>
      <c r="CG14" s="18">
        <v>4.07E-2</v>
      </c>
      <c r="CH14" s="18">
        <v>4.2000000000000003E-2</v>
      </c>
      <c r="CI14" s="18">
        <v>4.2700000000000002E-2</v>
      </c>
      <c r="CJ14" s="18">
        <v>4.2099999999999999E-2</v>
      </c>
      <c r="CK14" s="18">
        <v>4.4400000000000002E-2</v>
      </c>
      <c r="CL14" s="18">
        <v>4.3299999999999998E-2</v>
      </c>
      <c r="CM14" s="18">
        <v>4.2000000000000003E-2</v>
      </c>
      <c r="CN14" s="18">
        <v>4.1700000000000001E-2</v>
      </c>
      <c r="CO14" s="18">
        <v>4.24E-2</v>
      </c>
      <c r="CP14" s="18">
        <v>4.2999999999999997E-2</v>
      </c>
      <c r="CQ14" s="18">
        <v>4.4400000000000002E-2</v>
      </c>
      <c r="CR14" s="18">
        <v>4.5600000000000002E-2</v>
      </c>
      <c r="CS14" s="18">
        <v>4.6199999999999998E-2</v>
      </c>
      <c r="CT14" s="18">
        <v>4.5499999999999999E-2</v>
      </c>
      <c r="CU14" s="18">
        <v>4.6199999999999998E-2</v>
      </c>
      <c r="CV14" s="18">
        <v>4.4600000000000001E-2</v>
      </c>
      <c r="CW14" s="18">
        <v>4.3200000000000002E-2</v>
      </c>
      <c r="CX14" s="18">
        <v>3.95E-2</v>
      </c>
      <c r="CY14" s="18">
        <v>3.6600000000000001E-2</v>
      </c>
      <c r="CZ14" s="18">
        <v>3.5200000000000002E-2</v>
      </c>
      <c r="DA14" s="18">
        <v>3.1199999999999999E-2</v>
      </c>
      <c r="DB14" s="18">
        <v>2.9499999999999998E-2</v>
      </c>
      <c r="DC14" s="18">
        <v>2.7199999999999998E-2</v>
      </c>
      <c r="DD14" s="18">
        <v>2.4799999999999999E-2</v>
      </c>
      <c r="DE14" s="18">
        <v>2.29E-2</v>
      </c>
      <c r="DF14" s="18">
        <v>2.2800000000000001E-2</v>
      </c>
      <c r="DG14" s="18">
        <v>2.3199999999999998E-2</v>
      </c>
      <c r="DH14" s="18">
        <v>2.3199999999999998E-2</v>
      </c>
      <c r="DI14" s="18">
        <v>2.3699999999999999E-2</v>
      </c>
      <c r="DJ14" s="18">
        <v>2.3199999999999998E-2</v>
      </c>
      <c r="DK14" s="18">
        <v>2.3599999999999999E-2</v>
      </c>
      <c r="DL14" s="18">
        <v>2.3300000000000001E-2</v>
      </c>
      <c r="DM14" s="18">
        <v>2.46E-2</v>
      </c>
      <c r="DN14" s="18">
        <v>2.4199999999999999E-2</v>
      </c>
      <c r="DO14" s="18">
        <v>2.4299999999999999E-2</v>
      </c>
      <c r="DP14" s="18">
        <v>2.4899999999999999E-2</v>
      </c>
      <c r="DQ14" s="18">
        <v>2.4400000000000002E-2</v>
      </c>
      <c r="DR14" s="18">
        <v>2.4299999999999999E-2</v>
      </c>
      <c r="DS14" s="18">
        <v>2.41E-2</v>
      </c>
      <c r="DT14" s="18">
        <v>0.02</v>
      </c>
      <c r="DU14" s="18">
        <v>1.9E-2</v>
      </c>
      <c r="DV14" s="18">
        <v>1.9199999999999998E-2</v>
      </c>
      <c r="DW14" s="18">
        <v>1.8100000000000002E-2</v>
      </c>
      <c r="DX14" s="18">
        <v>1.83E-2</v>
      </c>
      <c r="DY14" s="18">
        <v>1.5800000000000002E-2</v>
      </c>
      <c r="DZ14" s="18">
        <v>1.49E-2</v>
      </c>
      <c r="EA14" s="18">
        <v>1.49E-2</v>
      </c>
      <c r="EB14" s="18">
        <v>1.5299999999999999E-2</v>
      </c>
      <c r="EC14" s="18">
        <v>1.4800000000000001E-2</v>
      </c>
      <c r="ED14" s="18">
        <v>1.5299999999999999E-2</v>
      </c>
      <c r="EE14" s="18">
        <v>1.5299999999999999E-2</v>
      </c>
      <c r="EF14" s="18">
        <v>1.4999999999999999E-2</v>
      </c>
      <c r="EG14" s="18">
        <v>1.52E-2</v>
      </c>
      <c r="EH14" s="18">
        <v>1.49E-2</v>
      </c>
      <c r="EI14" s="18">
        <v>1.3599999999999999E-2</v>
      </c>
      <c r="EJ14" s="18">
        <v>1.24E-2</v>
      </c>
      <c r="EK14" s="18">
        <v>1.21E-2</v>
      </c>
      <c r="EL14" s="18">
        <v>1.23E-2</v>
      </c>
      <c r="EM14" s="18">
        <v>1.23E-2</v>
      </c>
      <c r="EN14" s="18">
        <v>1.2500000000000001E-2</v>
      </c>
      <c r="EO14" s="18">
        <v>1.29E-2</v>
      </c>
      <c r="EP14" s="18">
        <v>1.29E-2</v>
      </c>
      <c r="EQ14" s="18">
        <v>1.3100000000000001E-2</v>
      </c>
      <c r="ER14" s="18">
        <v>1.29E-2</v>
      </c>
      <c r="ES14" s="18">
        <v>1.26E-2</v>
      </c>
      <c r="ET14" s="18">
        <v>1.2E-2</v>
      </c>
      <c r="EU14" s="18">
        <v>1.23E-2</v>
      </c>
      <c r="EV14" s="18">
        <v>1.23E-2</v>
      </c>
      <c r="EW14" s="18">
        <v>1.2200000000000001E-2</v>
      </c>
      <c r="EX14" s="18">
        <v>1.21E-2</v>
      </c>
      <c r="EY14" s="18">
        <v>1.2500000000000001E-2</v>
      </c>
      <c r="EZ14" s="18">
        <v>1.24E-2</v>
      </c>
      <c r="FA14" s="18">
        <v>1.2999999999999999E-2</v>
      </c>
      <c r="FB14" s="18">
        <v>1.24E-2</v>
      </c>
      <c r="FC14" s="18">
        <v>1.26E-2</v>
      </c>
      <c r="FD14" s="18">
        <v>1.21E-2</v>
      </c>
      <c r="FE14" s="18">
        <v>1.24E-2</v>
      </c>
      <c r="FF14" s="18">
        <v>1.1599999999999999E-2</v>
      </c>
      <c r="FG14" s="18">
        <v>1.2E-2</v>
      </c>
      <c r="FH14" s="18">
        <v>1.2200000000000001E-2</v>
      </c>
      <c r="FI14" s="18">
        <v>1.26E-2</v>
      </c>
      <c r="FJ14" s="18">
        <v>1.2500000000000001E-2</v>
      </c>
      <c r="FK14" s="18">
        <v>1.2E-2</v>
      </c>
      <c r="FL14" s="18">
        <v>1.2200000000000001E-2</v>
      </c>
      <c r="FM14" s="18">
        <v>1.23E-2</v>
      </c>
      <c r="FN14" s="18">
        <v>1.17E-2</v>
      </c>
      <c r="FO14" s="18">
        <v>1.24E-2</v>
      </c>
      <c r="FP14" s="18">
        <v>1.1900000000000001E-2</v>
      </c>
      <c r="FQ14" s="18">
        <v>1.15E-2</v>
      </c>
      <c r="FR14" s="18">
        <v>1.11E-2</v>
      </c>
      <c r="FS14" s="18">
        <v>1.18E-2</v>
      </c>
      <c r="FT14" s="18">
        <v>1.2E-2</v>
      </c>
      <c r="FU14" s="18">
        <v>1.1900000000000001E-2</v>
      </c>
      <c r="FV14" s="18">
        <v>1.18E-2</v>
      </c>
      <c r="FW14" s="18">
        <v>1.17E-2</v>
      </c>
      <c r="FX14" s="18">
        <v>1.12E-2</v>
      </c>
      <c r="FY14" s="18">
        <v>1.1599999999999999E-2</v>
      </c>
      <c r="FZ14" s="17">
        <v>1.1299999999999999E-2</v>
      </c>
      <c r="GA14" s="13">
        <v>1.12E-2</v>
      </c>
      <c r="GB14" s="13">
        <v>1.0800000000000001E-2</v>
      </c>
      <c r="GC14" s="13">
        <v>1.0500000000000001E-2</v>
      </c>
      <c r="GD14" s="13">
        <v>8.8000000000000005E-3</v>
      </c>
      <c r="GE14" s="13">
        <v>9.9000000000000008E-3</v>
      </c>
      <c r="GF14" s="13">
        <v>9.7000000000000003E-3</v>
      </c>
      <c r="GG14" s="18">
        <v>7.7000000000000002E-3</v>
      </c>
      <c r="GH14" s="17">
        <v>4.1000000000000003E-3</v>
      </c>
      <c r="GI14" s="17">
        <v>2.5000000000000001E-3</v>
      </c>
      <c r="GJ14" s="17">
        <v>8.9999999999999998E-4</v>
      </c>
      <c r="GK14" s="13">
        <v>6.9999999999999999E-4</v>
      </c>
      <c r="GL14" s="18">
        <v>5.0000000000000001E-4</v>
      </c>
      <c r="GM14" s="18">
        <v>5.0000000000000001E-4</v>
      </c>
      <c r="GN14" s="17">
        <v>5.0000000000000001E-4</v>
      </c>
      <c r="GO14" s="13">
        <v>4.0000000000000002E-4</v>
      </c>
      <c r="GP14" s="13">
        <v>5.0000000000000001E-4</v>
      </c>
      <c r="GQ14" s="13">
        <v>5.0000000000000001E-4</v>
      </c>
      <c r="GR14" s="16">
        <v>4.0000000000000002E-4</v>
      </c>
      <c r="GS14" s="15">
        <v>2.9999999999999997E-4</v>
      </c>
      <c r="GT14" s="14">
        <v>2.9999999999999997E-4</v>
      </c>
      <c r="GU14" s="13">
        <v>4.0000000000000002E-4</v>
      </c>
      <c r="GV14" s="16">
        <v>4.0000000000000002E-4</v>
      </c>
      <c r="GW14" s="15">
        <v>2.9999999999999997E-4</v>
      </c>
      <c r="GX14" s="14">
        <v>4.0000000000000002E-4</v>
      </c>
      <c r="GY14" s="13">
        <v>4.0000000000000002E-4</v>
      </c>
      <c r="GZ14" s="13">
        <v>1.1000000000000001E-3</v>
      </c>
      <c r="HA14" s="16">
        <v>5.8999999999999999E-3</v>
      </c>
      <c r="HB14" s="16">
        <v>8.0999999999999996E-3</v>
      </c>
      <c r="HC14" s="16">
        <v>1.2E-2</v>
      </c>
      <c r="HD14" s="16">
        <v>1.4500000000000001E-2</v>
      </c>
      <c r="HE14" s="16">
        <v>2.3099999999999999E-2</v>
      </c>
      <c r="HF14" s="16">
        <v>3.2500000000000001E-2</v>
      </c>
      <c r="HG14" s="16">
        <v>4.0500000000000001E-2</v>
      </c>
      <c r="HH14" s="16">
        <v>4.82E-2</v>
      </c>
      <c r="HI14" s="16">
        <v>5.2999999999999999E-2</v>
      </c>
      <c r="HJ14" s="16">
        <v>5.6399999999999999E-2</v>
      </c>
      <c r="HK14" s="16">
        <v>5.5800000000000002E-2</v>
      </c>
      <c r="HL14" s="14">
        <v>5.6599999999999998E-2</v>
      </c>
      <c r="HM14" s="14">
        <v>5.7000000000000002E-2</v>
      </c>
      <c r="HN14" s="14">
        <v>5.5399999999999998E-2</v>
      </c>
      <c r="HO14" s="14">
        <v>5.5E-2</v>
      </c>
      <c r="HP14" s="14">
        <v>5.4100000000000002E-2</v>
      </c>
      <c r="HQ14" s="14">
        <v>5.3100000000000001E-2</v>
      </c>
      <c r="HR14" s="14">
        <v>5.2699999999999997E-2</v>
      </c>
      <c r="HS14" s="14">
        <v>5.3100000000000001E-2</v>
      </c>
      <c r="HT14" s="14">
        <v>5.3800000000000001E-2</v>
      </c>
      <c r="HU14" s="14">
        <v>5.3600000000000002E-2</v>
      </c>
      <c r="HV14" s="14">
        <v>5.2999999999999999E-2</v>
      </c>
      <c r="HW14" s="14">
        <v>4.5900000000000003E-2</v>
      </c>
      <c r="HX14" s="14">
        <v>4.2799999999999998E-2</v>
      </c>
      <c r="HY14" s="13">
        <v>4.2200000000000001E-2</v>
      </c>
      <c r="HZ14" s="16">
        <v>3.9600000000000003E-2</v>
      </c>
      <c r="IA14" s="14">
        <v>4.1399999999999999E-2</v>
      </c>
      <c r="IB14" s="14">
        <v>4.0899999999999999E-2</v>
      </c>
      <c r="IC14" s="13">
        <v>4.0399999999999998E-2</v>
      </c>
      <c r="ID14" s="13">
        <v>4.07E-2</v>
      </c>
      <c r="IE14" s="16">
        <v>4.0399999999999998E-2</v>
      </c>
      <c r="IF14" s="15">
        <v>4.0800000000000003E-2</v>
      </c>
      <c r="IG14" s="15">
        <v>4.1799999999999997E-2</v>
      </c>
      <c r="IH14" s="15">
        <v>4.1099999999999998E-2</v>
      </c>
      <c r="II14" s="16">
        <v>4.1500000000000002E-2</v>
      </c>
      <c r="IJ14" s="16">
        <v>4.1500000000000002E-2</v>
      </c>
      <c r="IK14" s="16">
        <v>4.1399999999999999E-2</v>
      </c>
      <c r="IL14" s="16">
        <v>4.0399999999999998E-2</v>
      </c>
      <c r="IM14" s="15">
        <v>4.0599999999999997E-2</v>
      </c>
      <c r="IN14" s="14">
        <v>4.0800000000000003E-2</v>
      </c>
      <c r="IO14" s="13">
        <v>4.2299999999999997E-2</v>
      </c>
      <c r="IP14" s="16">
        <v>4.19E-2</v>
      </c>
      <c r="IQ14" s="16">
        <v>3.95E-2</v>
      </c>
      <c r="IR14" s="15">
        <v>3.85E-2</v>
      </c>
      <c r="IS14" s="15">
        <v>3.6999999999999998E-2</v>
      </c>
      <c r="IT14" s="15">
        <v>3.61E-2</v>
      </c>
      <c r="IU14" s="15">
        <v>3.4799999999999998E-2</v>
      </c>
      <c r="IV14" s="16">
        <v>3.2899999999999999E-2</v>
      </c>
      <c r="IW14" s="16">
        <v>2.9899999999999999E-2</v>
      </c>
      <c r="IX14" s="16">
        <v>2.7300000000000001E-2</v>
      </c>
      <c r="IY14" s="14">
        <v>2.7199999999999998E-2</v>
      </c>
      <c r="IZ14" s="13">
        <v>2.7400000000000001E-2</v>
      </c>
      <c r="JA14" s="13">
        <v>2.7099999999999999E-2</v>
      </c>
      <c r="JB14" s="13">
        <v>2.6200000000000001E-2</v>
      </c>
      <c r="JC14" s="15">
        <v>2.6200000000000001E-2</v>
      </c>
      <c r="JD14" s="14">
        <v>2.7099999999999999E-2</v>
      </c>
      <c r="JE14" s="13">
        <v>2.7E-2</v>
      </c>
    </row>
    <row r="15" spans="1:265" ht="12.75" customHeight="1">
      <c r="A15" s="60"/>
      <c r="B15" s="61" t="s">
        <v>19</v>
      </c>
      <c r="C15" s="60"/>
      <c r="D15" s="60"/>
      <c r="E15" s="20">
        <v>13</v>
      </c>
      <c r="F15" s="19" t="s">
        <v>76</v>
      </c>
      <c r="G15" s="27">
        <v>5.57E-2</v>
      </c>
      <c r="H15" s="27">
        <v>5.4199999999999998E-2</v>
      </c>
      <c r="I15" s="27">
        <v>5.5500000000000001E-2</v>
      </c>
      <c r="J15" s="27">
        <v>5.0999999999999997E-2</v>
      </c>
      <c r="K15" s="27">
        <v>4.7300000000000002E-2</v>
      </c>
      <c r="L15" s="27">
        <v>4.53E-2</v>
      </c>
      <c r="M15" s="27">
        <v>4.24E-2</v>
      </c>
      <c r="N15" s="27">
        <v>4.0899999999999999E-2</v>
      </c>
      <c r="O15" s="27">
        <v>3.9600000000000003E-2</v>
      </c>
      <c r="P15" s="27">
        <v>3.9199999999999999E-2</v>
      </c>
      <c r="Q15" s="27">
        <v>3.9100000000000003E-2</v>
      </c>
      <c r="R15" s="27">
        <v>3.73E-2</v>
      </c>
      <c r="S15" s="27">
        <v>3.8300000000000001E-2</v>
      </c>
      <c r="T15" s="27">
        <v>3.6700000000000003E-2</v>
      </c>
      <c r="U15" s="27">
        <v>3.5099999999999999E-2</v>
      </c>
      <c r="V15" s="27">
        <v>3.5099999999999999E-2</v>
      </c>
      <c r="W15" s="27">
        <v>3.5099999999999999E-2</v>
      </c>
      <c r="X15" s="27">
        <v>3.49E-2</v>
      </c>
      <c r="Y15" s="27">
        <v>3.5299999999999998E-2</v>
      </c>
      <c r="Z15" s="27">
        <v>3.5099999999999999E-2</v>
      </c>
      <c r="AA15" s="27">
        <v>3.4799999999999998E-2</v>
      </c>
      <c r="AB15" s="27">
        <v>3.5400000000000001E-2</v>
      </c>
      <c r="AC15" s="27">
        <v>3.4799999999999998E-2</v>
      </c>
      <c r="AD15" s="27">
        <v>3.4500000000000003E-2</v>
      </c>
      <c r="AE15" s="27">
        <v>3.5099999999999999E-2</v>
      </c>
      <c r="AF15" s="27">
        <v>3.5299999999999998E-2</v>
      </c>
      <c r="AG15" s="27">
        <v>3.5400000000000001E-2</v>
      </c>
      <c r="AH15" s="27">
        <v>3.5000000000000003E-2</v>
      </c>
      <c r="AI15" s="27">
        <v>3.78E-2</v>
      </c>
      <c r="AJ15" s="27">
        <v>3.8699999999999998E-2</v>
      </c>
      <c r="AK15" s="27">
        <v>4.0500000000000001E-2</v>
      </c>
      <c r="AL15" s="27">
        <v>4.0399999999999998E-2</v>
      </c>
      <c r="AM15" s="27">
        <v>4.1799999999999997E-2</v>
      </c>
      <c r="AN15" s="27">
        <v>4.3999999999999997E-2</v>
      </c>
      <c r="AO15" s="27">
        <v>4.4699999999999997E-2</v>
      </c>
      <c r="AP15" s="27">
        <v>4.2200000000000001E-2</v>
      </c>
      <c r="AQ15" s="27">
        <v>4.6399999999999997E-2</v>
      </c>
      <c r="AR15" s="27">
        <v>4.9000000000000002E-2</v>
      </c>
      <c r="AS15" s="27">
        <v>5.1900000000000002E-2</v>
      </c>
      <c r="AT15" s="27">
        <v>5.3800000000000001E-2</v>
      </c>
      <c r="AU15" s="27">
        <v>5.2900000000000003E-2</v>
      </c>
      <c r="AV15" s="27">
        <v>5.45E-2</v>
      </c>
      <c r="AW15" s="27">
        <v>5.4800000000000001E-2</v>
      </c>
      <c r="AX15" s="27">
        <v>5.5199999999999999E-2</v>
      </c>
      <c r="AY15" s="27">
        <v>5.67E-2</v>
      </c>
      <c r="AZ15" s="27">
        <v>5.8500000000000003E-2</v>
      </c>
      <c r="BA15" s="27">
        <v>5.7500000000000002E-2</v>
      </c>
      <c r="BB15" s="27">
        <v>5.8500000000000003E-2</v>
      </c>
      <c r="BC15" s="27">
        <v>5.1900000000000002E-2</v>
      </c>
      <c r="BD15" s="27">
        <v>4.3400000000000001E-2</v>
      </c>
      <c r="BE15" s="27">
        <v>3.8199999999999998E-2</v>
      </c>
      <c r="BF15" s="27">
        <v>3.61E-2</v>
      </c>
      <c r="BG15" s="27">
        <v>3.7199999999999997E-2</v>
      </c>
      <c r="BH15" s="27">
        <v>3.5400000000000001E-2</v>
      </c>
      <c r="BI15" s="27">
        <v>3.3599999999999998E-2</v>
      </c>
      <c r="BJ15" s="27">
        <v>3.2800000000000003E-2</v>
      </c>
      <c r="BK15" s="27">
        <v>3.3000000000000002E-2</v>
      </c>
      <c r="BL15" s="27">
        <v>3.2899999999999999E-2</v>
      </c>
      <c r="BM15" s="27">
        <v>3.32E-2</v>
      </c>
      <c r="BN15" s="27">
        <v>3.1699999999999999E-2</v>
      </c>
      <c r="BO15" s="27">
        <v>3.1199999999999999E-2</v>
      </c>
      <c r="BP15" s="27">
        <v>3.1099999999999999E-2</v>
      </c>
      <c r="BQ15" s="27">
        <v>3.1300000000000001E-2</v>
      </c>
      <c r="BR15" s="27">
        <v>3.1600000000000003E-2</v>
      </c>
      <c r="BS15" s="27">
        <v>3.1899999999999998E-2</v>
      </c>
      <c r="BT15" s="27">
        <v>3.1600000000000003E-2</v>
      </c>
      <c r="BU15" s="27">
        <v>3.04E-2</v>
      </c>
      <c r="BV15" s="27">
        <v>3.1E-2</v>
      </c>
      <c r="BW15" s="27">
        <v>3.1699999999999999E-2</v>
      </c>
      <c r="BX15" s="27">
        <v>3.1800000000000002E-2</v>
      </c>
      <c r="BY15" s="27">
        <v>3.1300000000000001E-2</v>
      </c>
      <c r="BZ15" s="27">
        <v>3.1199999999999999E-2</v>
      </c>
      <c r="CA15" s="27">
        <v>3.09E-2</v>
      </c>
      <c r="CB15" s="27">
        <v>3.2500000000000001E-2</v>
      </c>
      <c r="CC15" s="27">
        <v>3.4299999999999997E-2</v>
      </c>
      <c r="CD15" s="27">
        <v>3.5200000000000002E-2</v>
      </c>
      <c r="CE15" s="27">
        <v>3.56E-2</v>
      </c>
      <c r="CF15" s="27">
        <v>4.0099999999999997E-2</v>
      </c>
      <c r="CG15" s="27">
        <v>4.1000000000000002E-2</v>
      </c>
      <c r="CH15" s="27">
        <v>4.2299999999999997E-2</v>
      </c>
      <c r="CI15" s="27">
        <v>4.2900000000000001E-2</v>
      </c>
      <c r="CJ15" s="27">
        <v>4.2700000000000002E-2</v>
      </c>
      <c r="CK15" s="27">
        <v>4.48E-2</v>
      </c>
      <c r="CL15" s="27">
        <v>4.4299999999999999E-2</v>
      </c>
      <c r="CM15" s="27">
        <v>4.3499999999999997E-2</v>
      </c>
      <c r="CN15" s="27">
        <v>4.2900000000000001E-2</v>
      </c>
      <c r="CO15" s="27">
        <v>4.3200000000000002E-2</v>
      </c>
      <c r="CP15" s="27">
        <v>4.3799999999999999E-2</v>
      </c>
      <c r="CQ15" s="27">
        <v>4.5100000000000001E-2</v>
      </c>
      <c r="CR15" s="27">
        <v>4.6600000000000003E-2</v>
      </c>
      <c r="CS15" s="27">
        <v>4.7E-2</v>
      </c>
      <c r="CT15" s="27">
        <v>4.6199999999999998E-2</v>
      </c>
      <c r="CU15" s="27">
        <v>4.6699999999999998E-2</v>
      </c>
      <c r="CV15" s="27">
        <v>4.5499999999999999E-2</v>
      </c>
      <c r="CW15" s="27">
        <v>4.36E-2</v>
      </c>
      <c r="CX15" s="27">
        <v>4.0099999999999997E-2</v>
      </c>
      <c r="CY15" s="27">
        <v>3.7400000000000003E-2</v>
      </c>
      <c r="CZ15" s="27">
        <v>3.5799999999999998E-2</v>
      </c>
      <c r="DA15" s="27">
        <v>3.1800000000000002E-2</v>
      </c>
      <c r="DB15" s="27">
        <v>2.98E-2</v>
      </c>
      <c r="DC15" s="27">
        <v>2.7400000000000001E-2</v>
      </c>
      <c r="DD15" s="27">
        <v>2.5000000000000001E-2</v>
      </c>
      <c r="DE15" s="27">
        <v>2.3300000000000001E-2</v>
      </c>
      <c r="DF15" s="27">
        <v>2.3099999999999999E-2</v>
      </c>
      <c r="DG15" s="27">
        <v>2.3599999999999999E-2</v>
      </c>
      <c r="DH15" s="27">
        <v>2.3800000000000002E-2</v>
      </c>
      <c r="DI15" s="27">
        <v>2.4199999999999999E-2</v>
      </c>
      <c r="DJ15" s="27">
        <v>2.3800000000000002E-2</v>
      </c>
      <c r="DK15" s="27">
        <v>2.41E-2</v>
      </c>
      <c r="DL15" s="27">
        <v>2.4E-2</v>
      </c>
      <c r="DM15" s="27">
        <v>2.5000000000000001E-2</v>
      </c>
      <c r="DN15" s="27">
        <v>2.47E-2</v>
      </c>
      <c r="DO15" s="27">
        <v>2.4799999999999999E-2</v>
      </c>
      <c r="DP15" s="27">
        <v>2.52E-2</v>
      </c>
      <c r="DQ15" s="27">
        <v>2.4799999999999999E-2</v>
      </c>
      <c r="DR15" s="27">
        <v>2.5000000000000001E-2</v>
      </c>
      <c r="DS15" s="27">
        <v>2.5000000000000001E-2</v>
      </c>
      <c r="DT15" s="27">
        <v>2.1100000000000001E-2</v>
      </c>
      <c r="DU15" s="27">
        <v>1.9699999999999999E-2</v>
      </c>
      <c r="DV15" s="27">
        <v>2.0199999999999999E-2</v>
      </c>
      <c r="DW15" s="27">
        <v>1.9300000000000001E-2</v>
      </c>
      <c r="DX15" s="27">
        <v>1.9699999999999999E-2</v>
      </c>
      <c r="DY15" s="27">
        <v>1.7299999999999999E-2</v>
      </c>
      <c r="DZ15" s="27">
        <v>1.6199999999999999E-2</v>
      </c>
      <c r="EA15" s="27">
        <v>1.5800000000000002E-2</v>
      </c>
      <c r="EB15" s="27">
        <v>1.5900000000000001E-2</v>
      </c>
      <c r="EC15" s="27">
        <v>1.5699999999999999E-2</v>
      </c>
      <c r="ED15" s="27">
        <v>1.61E-2</v>
      </c>
      <c r="EE15" s="27">
        <v>1.5900000000000001E-2</v>
      </c>
      <c r="EF15" s="27">
        <v>1.5800000000000002E-2</v>
      </c>
      <c r="EG15" s="27">
        <v>1.6E-2</v>
      </c>
      <c r="EH15" s="27">
        <v>1.5699999999999999E-2</v>
      </c>
      <c r="EI15" s="27">
        <v>1.49E-2</v>
      </c>
      <c r="EJ15" s="27">
        <v>1.41E-2</v>
      </c>
      <c r="EK15" s="27">
        <v>1.3599999999999999E-2</v>
      </c>
      <c r="EL15" s="27">
        <v>1.3599999999999999E-2</v>
      </c>
      <c r="EM15" s="27">
        <v>1.35E-2</v>
      </c>
      <c r="EN15" s="27">
        <v>1.35E-2</v>
      </c>
      <c r="EO15" s="27">
        <v>1.4500000000000001E-2</v>
      </c>
      <c r="EP15" s="27">
        <v>1.4200000000000001E-2</v>
      </c>
      <c r="EQ15" s="27">
        <v>1.43E-2</v>
      </c>
      <c r="ER15" s="27">
        <v>1.4200000000000001E-2</v>
      </c>
      <c r="ES15" s="27">
        <v>1.38E-2</v>
      </c>
      <c r="ET15" s="27">
        <v>1.3100000000000001E-2</v>
      </c>
      <c r="EU15" s="27">
        <v>1.3299999999999999E-2</v>
      </c>
      <c r="EV15" s="27">
        <v>1.34E-2</v>
      </c>
      <c r="EW15" s="27">
        <v>1.32E-2</v>
      </c>
      <c r="EX15" s="27">
        <v>1.29E-2</v>
      </c>
      <c r="EY15" s="27">
        <v>1.3100000000000001E-2</v>
      </c>
      <c r="EZ15" s="27">
        <v>1.29E-2</v>
      </c>
      <c r="FA15" s="27">
        <v>1.3599999999999999E-2</v>
      </c>
      <c r="FB15" s="27">
        <v>1.34E-2</v>
      </c>
      <c r="FC15" s="27">
        <v>1.3299999999999999E-2</v>
      </c>
      <c r="FD15" s="27">
        <v>1.3100000000000001E-2</v>
      </c>
      <c r="FE15" s="27">
        <v>1.35E-2</v>
      </c>
      <c r="FF15" s="27">
        <v>1.29E-2</v>
      </c>
      <c r="FG15" s="27">
        <v>1.35E-2</v>
      </c>
      <c r="FH15" s="27">
        <v>1.34E-2</v>
      </c>
      <c r="FI15" s="27">
        <v>1.3599999999999999E-2</v>
      </c>
      <c r="FJ15" s="27">
        <v>1.3599999999999999E-2</v>
      </c>
      <c r="FK15" s="27">
        <v>1.35E-2</v>
      </c>
      <c r="FL15" s="27">
        <v>1.38E-2</v>
      </c>
      <c r="FM15" s="27">
        <v>1.38E-2</v>
      </c>
      <c r="FN15" s="27">
        <v>1.34E-2</v>
      </c>
      <c r="FO15" s="27">
        <v>1.41E-2</v>
      </c>
      <c r="FP15" s="27">
        <v>1.3599999999999999E-2</v>
      </c>
      <c r="FQ15" s="27">
        <v>1.43E-2</v>
      </c>
      <c r="FR15" s="27">
        <v>1.3899999999999999E-2</v>
      </c>
      <c r="FS15" s="27">
        <v>1.4E-2</v>
      </c>
      <c r="FT15" s="27">
        <v>1.41E-2</v>
      </c>
      <c r="FU15" s="27">
        <v>1.35E-2</v>
      </c>
      <c r="FV15" s="27">
        <v>1.3299999999999999E-2</v>
      </c>
      <c r="FW15" s="27">
        <v>1.3100000000000001E-2</v>
      </c>
      <c r="FX15" s="27">
        <v>1.23E-2</v>
      </c>
      <c r="FY15" s="27">
        <v>1.26E-2</v>
      </c>
      <c r="FZ15" s="26">
        <v>1.21E-2</v>
      </c>
      <c r="GA15" s="22">
        <v>1.1900000000000001E-2</v>
      </c>
      <c r="GB15" s="22">
        <v>1.18E-2</v>
      </c>
      <c r="GC15" s="22">
        <v>1.15E-2</v>
      </c>
      <c r="GD15" s="22">
        <v>0.01</v>
      </c>
      <c r="GE15" s="22">
        <v>1.09E-2</v>
      </c>
      <c r="GF15" s="22">
        <v>1.0500000000000001E-2</v>
      </c>
      <c r="GG15" s="27">
        <v>9.2999999999999992E-3</v>
      </c>
      <c r="GH15" s="26">
        <v>5.7000000000000002E-3</v>
      </c>
      <c r="GI15" s="26">
        <v>3.7000000000000002E-3</v>
      </c>
      <c r="GJ15" s="26">
        <v>2.3999999999999998E-3</v>
      </c>
      <c r="GK15" s="22">
        <v>1.9E-3</v>
      </c>
      <c r="GL15" s="27">
        <v>1.8E-3</v>
      </c>
      <c r="GM15" s="27">
        <v>2.7000000000000001E-3</v>
      </c>
      <c r="GN15" s="26">
        <v>2.3999999999999998E-3</v>
      </c>
      <c r="GO15" s="22">
        <v>2.3999999999999998E-3</v>
      </c>
      <c r="GP15" s="22">
        <v>2.3999999999999998E-3</v>
      </c>
      <c r="GQ15" s="22">
        <v>2.3E-3</v>
      </c>
      <c r="GR15" s="25">
        <v>1.5E-3</v>
      </c>
      <c r="GS15" s="24">
        <v>1E-3</v>
      </c>
      <c r="GT15" s="23">
        <v>1E-3</v>
      </c>
      <c r="GU15" s="22">
        <v>1.1000000000000001E-3</v>
      </c>
      <c r="GV15" s="25">
        <v>1.1999999999999999E-3</v>
      </c>
      <c r="GW15" s="24">
        <v>1.1999999999999999E-3</v>
      </c>
      <c r="GX15" s="23">
        <v>1.2999999999999999E-3</v>
      </c>
      <c r="GY15" s="22">
        <v>1.5E-3</v>
      </c>
      <c r="GZ15" s="22">
        <v>2.0999999999999999E-3</v>
      </c>
      <c r="HA15" s="25">
        <v>5.4999999999999997E-3</v>
      </c>
      <c r="HB15" s="25">
        <v>7.7999999999999996E-3</v>
      </c>
      <c r="HC15" s="25">
        <v>1.14E-2</v>
      </c>
      <c r="HD15" s="25">
        <v>1.37E-2</v>
      </c>
      <c r="HE15" s="25">
        <v>2.1299999999999999E-2</v>
      </c>
      <c r="HF15" s="25">
        <v>2.9499999999999998E-2</v>
      </c>
      <c r="HG15" s="25">
        <v>3.8300000000000001E-2</v>
      </c>
      <c r="HH15" s="25">
        <v>4.7199999999999999E-2</v>
      </c>
      <c r="HI15" s="25">
        <v>5.1700000000000003E-2</v>
      </c>
      <c r="HJ15" s="25">
        <v>5.5100000000000003E-2</v>
      </c>
      <c r="HK15" s="25">
        <v>5.57E-2</v>
      </c>
      <c r="HL15" s="23">
        <v>5.6599999999999998E-2</v>
      </c>
      <c r="HM15" s="23">
        <v>5.8099999999999999E-2</v>
      </c>
      <c r="HN15" s="23">
        <v>5.7200000000000001E-2</v>
      </c>
      <c r="HO15" s="23">
        <v>5.6800000000000003E-2</v>
      </c>
      <c r="HP15" s="23">
        <v>5.5300000000000002E-2</v>
      </c>
      <c r="HQ15" s="23">
        <v>5.4399999999999997E-2</v>
      </c>
      <c r="HR15" s="23">
        <v>5.3900000000000003E-2</v>
      </c>
      <c r="HS15" s="23">
        <v>5.4199999999999998E-2</v>
      </c>
      <c r="HT15" s="23">
        <v>5.4899999999999997E-2</v>
      </c>
      <c r="HU15" s="23">
        <v>5.4100000000000002E-2</v>
      </c>
      <c r="HV15" s="23">
        <v>5.2900000000000003E-2</v>
      </c>
      <c r="HW15" s="23">
        <v>4.7E-2</v>
      </c>
      <c r="HX15" s="23">
        <v>4.3700000000000003E-2</v>
      </c>
      <c r="HY15" s="22">
        <v>4.2999999999999997E-2</v>
      </c>
      <c r="HZ15" s="25">
        <v>4.0899999999999999E-2</v>
      </c>
      <c r="IA15" s="23">
        <v>4.2299999999999997E-2</v>
      </c>
      <c r="IB15" s="23">
        <v>4.1799999999999997E-2</v>
      </c>
      <c r="IC15" s="22">
        <v>4.1200000000000001E-2</v>
      </c>
      <c r="ID15" s="22">
        <v>4.1099999999999998E-2</v>
      </c>
      <c r="IE15" s="25">
        <v>4.07E-2</v>
      </c>
      <c r="IF15" s="24">
        <v>4.1000000000000002E-2</v>
      </c>
      <c r="IG15" s="24">
        <v>4.1700000000000001E-2</v>
      </c>
      <c r="IH15" s="24">
        <v>4.1000000000000002E-2</v>
      </c>
      <c r="II15" s="25">
        <v>4.1300000000000003E-2</v>
      </c>
      <c r="IJ15" s="25">
        <v>4.1099999999999998E-2</v>
      </c>
      <c r="IK15" s="25">
        <v>4.0899999999999999E-2</v>
      </c>
      <c r="IL15" s="25">
        <v>4.02E-2</v>
      </c>
      <c r="IM15" s="24">
        <v>4.0599999999999997E-2</v>
      </c>
      <c r="IN15" s="23">
        <v>4.07E-2</v>
      </c>
      <c r="IO15" s="22">
        <v>4.1799999999999997E-2</v>
      </c>
      <c r="IP15" s="25">
        <v>4.1500000000000002E-2</v>
      </c>
      <c r="IQ15" s="25">
        <v>3.95E-2</v>
      </c>
      <c r="IR15" s="24">
        <v>3.8399999999999997E-2</v>
      </c>
      <c r="IS15" s="24">
        <v>3.73E-2</v>
      </c>
      <c r="IT15" s="24">
        <v>3.6400000000000002E-2</v>
      </c>
      <c r="IU15" s="24">
        <v>3.5099999999999999E-2</v>
      </c>
      <c r="IV15" s="25">
        <v>3.3599999999999998E-2</v>
      </c>
      <c r="IW15" s="25">
        <v>3.1199999999999999E-2</v>
      </c>
      <c r="IX15" s="25">
        <v>2.8799999999999999E-2</v>
      </c>
      <c r="IY15" s="23">
        <v>2.8799999999999999E-2</v>
      </c>
      <c r="IZ15" s="22">
        <v>2.87E-2</v>
      </c>
      <c r="JA15" s="22">
        <v>2.8000000000000001E-2</v>
      </c>
      <c r="JB15" s="22">
        <v>2.7199999999999998E-2</v>
      </c>
      <c r="JC15" s="24">
        <v>2.7099999999999999E-2</v>
      </c>
      <c r="JD15" s="23">
        <v>2.7699999999999999E-2</v>
      </c>
      <c r="JE15" s="22">
        <v>2.7799999999999998E-2</v>
      </c>
    </row>
    <row r="16" spans="1:265" ht="12.75" customHeight="1">
      <c r="A16" s="59" t="s">
        <v>75</v>
      </c>
      <c r="B16" s="59" t="s">
        <v>74</v>
      </c>
      <c r="C16" s="59" t="s">
        <v>73</v>
      </c>
      <c r="D16" s="29" t="s">
        <v>32</v>
      </c>
      <c r="E16" s="20">
        <v>14</v>
      </c>
      <c r="F16" s="19" t="s">
        <v>72</v>
      </c>
      <c r="G16" s="18">
        <v>0.16220000000000001</v>
      </c>
      <c r="H16" s="18">
        <v>0.1474</v>
      </c>
      <c r="I16" s="18">
        <v>0.14660000000000001</v>
      </c>
      <c r="J16" s="18">
        <v>0.12989999999999999</v>
      </c>
      <c r="K16" s="18">
        <v>0.1444</v>
      </c>
      <c r="L16" s="18">
        <v>0.1459</v>
      </c>
      <c r="M16" s="18">
        <v>0.1394</v>
      </c>
      <c r="N16" s="18">
        <v>0.1424</v>
      </c>
      <c r="O16" s="18">
        <v>0.14130000000000001</v>
      </c>
      <c r="P16" s="18">
        <v>0.14410000000000001</v>
      </c>
      <c r="Q16" s="18">
        <v>0.1479</v>
      </c>
      <c r="R16" s="18">
        <v>0.14149999999999999</v>
      </c>
      <c r="S16" s="18">
        <v>0.1414</v>
      </c>
      <c r="T16" s="18">
        <v>0.14249999999999999</v>
      </c>
      <c r="U16" s="18">
        <v>0.1472</v>
      </c>
      <c r="V16" s="18">
        <v>0.14899999999999999</v>
      </c>
      <c r="W16" s="18">
        <v>0.14990000000000001</v>
      </c>
      <c r="X16" s="18">
        <v>0.14779999999999999</v>
      </c>
      <c r="Y16" s="18">
        <v>0.13450000000000001</v>
      </c>
      <c r="Z16" s="18">
        <v>0.1346</v>
      </c>
      <c r="AA16" s="18">
        <v>0.13400000000000001</v>
      </c>
      <c r="AB16" s="18">
        <v>0.14699999999999999</v>
      </c>
      <c r="AC16" s="18">
        <v>0.14230000000000001</v>
      </c>
      <c r="AD16" s="18">
        <v>0.14369999999999999</v>
      </c>
      <c r="AE16" s="18">
        <v>0.15620000000000001</v>
      </c>
      <c r="AF16" s="18">
        <v>0.1459</v>
      </c>
      <c r="AG16" s="18">
        <v>0.14630000000000001</v>
      </c>
      <c r="AH16" s="18">
        <v>0.1414</v>
      </c>
      <c r="AI16" s="18">
        <v>0.14360000000000001</v>
      </c>
      <c r="AJ16" s="18">
        <v>0.13930000000000001</v>
      </c>
      <c r="AK16" s="18">
        <v>0.1439</v>
      </c>
      <c r="AL16" s="18">
        <v>0.14419999999999999</v>
      </c>
      <c r="AM16" s="18">
        <v>0.1447</v>
      </c>
      <c r="AN16" s="18">
        <v>0.14879999999999999</v>
      </c>
      <c r="AO16" s="18">
        <v>0.14910000000000001</v>
      </c>
      <c r="AP16" s="18">
        <v>0.1479</v>
      </c>
      <c r="AQ16" s="18">
        <v>0.1507</v>
      </c>
      <c r="AR16" s="18">
        <v>0.15529999999999999</v>
      </c>
      <c r="AS16" s="18">
        <v>0.16039999999999999</v>
      </c>
      <c r="AT16" s="18">
        <v>0.1648</v>
      </c>
      <c r="AU16" s="18">
        <v>0.16800000000000001</v>
      </c>
      <c r="AV16" s="18">
        <v>0.1701</v>
      </c>
      <c r="AW16" s="18">
        <v>0.17280000000000001</v>
      </c>
      <c r="AX16" s="18">
        <v>0.1736</v>
      </c>
      <c r="AY16" s="18">
        <v>0.17449999999999999</v>
      </c>
      <c r="AZ16" s="18">
        <v>0.1759</v>
      </c>
      <c r="BA16" s="18">
        <v>0.16839999999999999</v>
      </c>
      <c r="BB16" s="18">
        <v>0.1643</v>
      </c>
      <c r="BC16" s="18">
        <v>0.16980000000000001</v>
      </c>
      <c r="BD16" s="18">
        <v>0.16400000000000001</v>
      </c>
      <c r="BE16" s="18">
        <v>0.16789999999999999</v>
      </c>
      <c r="BF16" s="18">
        <v>0.16930000000000001</v>
      </c>
      <c r="BG16" s="18">
        <v>0.16719999999999999</v>
      </c>
      <c r="BH16" s="18">
        <v>0.16830000000000001</v>
      </c>
      <c r="BI16" s="18">
        <v>0.1719</v>
      </c>
      <c r="BJ16" s="18">
        <v>0.1716</v>
      </c>
      <c r="BK16" s="18">
        <v>0.16969999999999999</v>
      </c>
      <c r="BL16" s="18">
        <v>0.16400000000000001</v>
      </c>
      <c r="BM16" s="18">
        <v>0.16500000000000001</v>
      </c>
      <c r="BN16" s="18">
        <v>0.1636</v>
      </c>
      <c r="BO16" s="18">
        <v>0.16070000000000001</v>
      </c>
      <c r="BP16" s="18">
        <v>0.1608</v>
      </c>
      <c r="BQ16" s="18">
        <v>0.16200000000000001</v>
      </c>
      <c r="BR16" s="18">
        <v>0.1603</v>
      </c>
      <c r="BS16" s="18">
        <v>0.16170000000000001</v>
      </c>
      <c r="BT16" s="18">
        <v>0.16089999999999999</v>
      </c>
      <c r="BU16" s="18">
        <v>0.156</v>
      </c>
      <c r="BV16" s="18">
        <v>0.15509999999999999</v>
      </c>
      <c r="BW16" s="18">
        <v>0.1517</v>
      </c>
      <c r="BX16" s="18">
        <v>0.1477</v>
      </c>
      <c r="BY16" s="18">
        <v>0.14899999999999999</v>
      </c>
      <c r="BZ16" s="18">
        <v>0.15</v>
      </c>
      <c r="CA16" s="18">
        <v>0.15079999999999999</v>
      </c>
      <c r="CB16" s="18">
        <v>0.15429999999999999</v>
      </c>
      <c r="CC16" s="18">
        <v>0.15490000000000001</v>
      </c>
      <c r="CD16" s="18">
        <v>0.15709999999999999</v>
      </c>
      <c r="CE16" s="18">
        <v>0.15890000000000001</v>
      </c>
      <c r="CF16" s="18">
        <v>0.15720000000000001</v>
      </c>
      <c r="CG16" s="18">
        <v>0.1535</v>
      </c>
      <c r="CH16" s="18">
        <v>0.15559999999999999</v>
      </c>
      <c r="CI16" s="18">
        <v>0.153</v>
      </c>
      <c r="CJ16" s="18">
        <v>0.15459999999999999</v>
      </c>
      <c r="CK16" s="18">
        <v>0.1527</v>
      </c>
      <c r="CL16" s="18">
        <v>0.14940000000000001</v>
      </c>
      <c r="CM16" s="18">
        <v>0.15559999999999999</v>
      </c>
      <c r="CN16" s="18">
        <v>0.152</v>
      </c>
      <c r="CO16" s="18">
        <v>0.15390000000000001</v>
      </c>
      <c r="CP16" s="18">
        <v>0.15479999999999999</v>
      </c>
      <c r="CQ16" s="18">
        <v>0.15229999999999999</v>
      </c>
      <c r="CR16" s="18">
        <v>0.13320000000000001</v>
      </c>
      <c r="CS16" s="18">
        <v>0.1517</v>
      </c>
      <c r="CT16" s="18">
        <v>0.1585</v>
      </c>
      <c r="CU16" s="18">
        <v>0.15740000000000001</v>
      </c>
      <c r="CV16" s="18">
        <v>0.16339999999999999</v>
      </c>
      <c r="CW16" s="18">
        <v>0.16450000000000001</v>
      </c>
      <c r="CX16" s="18">
        <v>0.16020000000000001</v>
      </c>
      <c r="CY16" s="18">
        <v>0.1603</v>
      </c>
      <c r="CZ16" s="18">
        <v>0.15060000000000001</v>
      </c>
      <c r="DA16" s="18">
        <v>0.16059999999999999</v>
      </c>
      <c r="DB16" s="18">
        <v>0.14710000000000001</v>
      </c>
      <c r="DC16" s="18">
        <v>0.1578</v>
      </c>
      <c r="DD16" s="18">
        <v>0.14269999999999999</v>
      </c>
      <c r="DE16" s="18">
        <v>0.1489</v>
      </c>
      <c r="DF16" s="18">
        <v>0.14630000000000001</v>
      </c>
      <c r="DG16" s="18">
        <v>0.1424</v>
      </c>
      <c r="DH16" s="18">
        <v>0.1419</v>
      </c>
      <c r="DI16" s="18">
        <v>0.1401</v>
      </c>
      <c r="DJ16" s="18">
        <v>0.13669999999999999</v>
      </c>
      <c r="DK16" s="18">
        <v>0.13850000000000001</v>
      </c>
      <c r="DL16" s="18">
        <v>0.13769999999999999</v>
      </c>
      <c r="DM16" s="18">
        <v>0.13930000000000001</v>
      </c>
      <c r="DN16" s="18">
        <v>0.13739999999999999</v>
      </c>
      <c r="DO16" s="18">
        <v>0.13789999999999999</v>
      </c>
      <c r="DP16" s="18">
        <v>0.13730000000000001</v>
      </c>
      <c r="DQ16" s="18">
        <v>0.13669999999999999</v>
      </c>
      <c r="DR16" s="18">
        <v>0.1333</v>
      </c>
      <c r="DS16" s="18">
        <v>0.1293</v>
      </c>
      <c r="DT16" s="18">
        <v>0.1144</v>
      </c>
      <c r="DU16" s="18">
        <v>0.11</v>
      </c>
      <c r="DV16" s="18">
        <v>0.1065</v>
      </c>
      <c r="DW16" s="18">
        <v>0.1075</v>
      </c>
      <c r="DX16" s="18">
        <v>0.1036</v>
      </c>
      <c r="DY16" s="18">
        <v>9.2899999999999996E-2</v>
      </c>
      <c r="DZ16" s="18">
        <v>9.0899999999999995E-2</v>
      </c>
      <c r="EA16" s="18">
        <v>9.11E-2</v>
      </c>
      <c r="EB16" s="18">
        <v>9.01E-2</v>
      </c>
      <c r="EC16" s="18">
        <v>9.2100000000000001E-2</v>
      </c>
      <c r="ED16" s="18">
        <v>9.0999999999999998E-2</v>
      </c>
      <c r="EE16" s="18">
        <v>8.8300000000000003E-2</v>
      </c>
      <c r="EF16" s="18">
        <v>8.8900000000000007E-2</v>
      </c>
      <c r="EG16" s="18">
        <v>8.8099999999999998E-2</v>
      </c>
      <c r="EH16" s="18">
        <v>9.0399999999999994E-2</v>
      </c>
      <c r="EI16" s="18">
        <v>9.1300000000000006E-2</v>
      </c>
      <c r="EJ16" s="18">
        <v>8.9399999999999993E-2</v>
      </c>
      <c r="EK16" s="18">
        <v>8.9099999999999999E-2</v>
      </c>
      <c r="EL16" s="18">
        <v>8.7800000000000003E-2</v>
      </c>
      <c r="EM16" s="18">
        <v>8.7999999999999995E-2</v>
      </c>
      <c r="EN16" s="18">
        <v>8.6999999999999994E-2</v>
      </c>
      <c r="EO16" s="18">
        <v>8.6900000000000005E-2</v>
      </c>
      <c r="EP16" s="18">
        <v>8.8400000000000006E-2</v>
      </c>
      <c r="EQ16" s="18">
        <v>8.6400000000000005E-2</v>
      </c>
      <c r="ER16" s="18">
        <v>8.6699999999999999E-2</v>
      </c>
      <c r="ES16" s="18">
        <v>8.6199999999999999E-2</v>
      </c>
      <c r="ET16" s="18">
        <v>8.2600000000000007E-2</v>
      </c>
      <c r="EU16" s="18">
        <v>8.5099999999999995E-2</v>
      </c>
      <c r="EV16" s="18">
        <v>8.4000000000000005E-2</v>
      </c>
      <c r="EW16" s="18">
        <v>8.3400000000000002E-2</v>
      </c>
      <c r="EX16" s="18">
        <v>8.4099999999999994E-2</v>
      </c>
      <c r="EY16" s="18">
        <v>8.5400000000000004E-2</v>
      </c>
      <c r="EZ16" s="18">
        <v>8.43E-2</v>
      </c>
      <c r="FA16" s="18">
        <v>8.5500000000000007E-2</v>
      </c>
      <c r="FB16" s="18">
        <v>8.5999999999999993E-2</v>
      </c>
      <c r="FC16" s="18">
        <v>8.4900000000000003E-2</v>
      </c>
      <c r="FD16" s="18">
        <v>8.5099999999999995E-2</v>
      </c>
      <c r="FE16" s="18">
        <v>8.5099999999999995E-2</v>
      </c>
      <c r="FF16" s="18">
        <v>8.4000000000000005E-2</v>
      </c>
      <c r="FG16" s="18">
        <v>8.5099999999999995E-2</v>
      </c>
      <c r="FH16" s="18">
        <v>8.5900000000000004E-2</v>
      </c>
      <c r="FI16" s="18">
        <v>8.5300000000000001E-2</v>
      </c>
      <c r="FJ16" s="18">
        <v>8.5500000000000007E-2</v>
      </c>
      <c r="FK16" s="18">
        <v>8.5999999999999993E-2</v>
      </c>
      <c r="FL16" s="18">
        <v>8.6400000000000005E-2</v>
      </c>
      <c r="FM16" s="18">
        <v>8.6300000000000002E-2</v>
      </c>
      <c r="FN16" s="18">
        <v>8.5699999999999998E-2</v>
      </c>
      <c r="FO16" s="18">
        <v>8.5800000000000001E-2</v>
      </c>
      <c r="FP16" s="18">
        <v>8.4199999999999997E-2</v>
      </c>
      <c r="FQ16" s="18">
        <v>8.3299999999999999E-2</v>
      </c>
      <c r="FR16" s="18">
        <v>8.5199999999999998E-2</v>
      </c>
      <c r="FS16" s="18">
        <v>8.6999999999999994E-2</v>
      </c>
      <c r="FT16" s="18">
        <v>8.6699999999999999E-2</v>
      </c>
      <c r="FU16" s="18">
        <v>8.7400000000000005E-2</v>
      </c>
      <c r="FV16" s="18">
        <v>8.6699999999999999E-2</v>
      </c>
      <c r="FW16" s="18">
        <v>8.6400000000000005E-2</v>
      </c>
      <c r="FX16" s="18">
        <v>8.6800000000000002E-2</v>
      </c>
      <c r="FY16" s="18">
        <v>8.7800000000000003E-2</v>
      </c>
      <c r="FZ16" s="17">
        <v>8.7599999999999997E-2</v>
      </c>
      <c r="GA16" s="13">
        <v>8.6900000000000005E-2</v>
      </c>
      <c r="GB16" s="13">
        <v>8.7800000000000003E-2</v>
      </c>
      <c r="GC16" s="13">
        <v>8.8099999999999998E-2</v>
      </c>
      <c r="GD16" s="13">
        <v>8.7400000000000005E-2</v>
      </c>
      <c r="GE16" s="13">
        <v>8.8200000000000001E-2</v>
      </c>
      <c r="GF16" s="13">
        <v>8.8599999999999998E-2</v>
      </c>
      <c r="GG16" s="18">
        <v>8.5999999999999993E-2</v>
      </c>
      <c r="GH16" s="17">
        <v>7.7299999999999994E-2</v>
      </c>
      <c r="GI16" s="17">
        <v>7.4399999999999994E-2</v>
      </c>
      <c r="GJ16" s="13">
        <v>7.0999999999999994E-2</v>
      </c>
      <c r="GK16" s="13">
        <v>7.1300000000000002E-2</v>
      </c>
      <c r="GL16" s="18">
        <v>7.1499999999999994E-2</v>
      </c>
      <c r="GM16" s="18">
        <v>7.1499999999999994E-2</v>
      </c>
      <c r="GN16" s="17">
        <v>7.1800000000000003E-2</v>
      </c>
      <c r="GO16" s="13">
        <v>7.1099999999999997E-2</v>
      </c>
      <c r="GP16" s="13">
        <v>7.0900000000000005E-2</v>
      </c>
      <c r="GQ16" s="13">
        <v>7.1099999999999997E-2</v>
      </c>
      <c r="GR16" s="16">
        <v>7.1099999999999997E-2</v>
      </c>
      <c r="GS16" s="15">
        <v>7.0900000000000005E-2</v>
      </c>
      <c r="GT16" s="14">
        <v>7.0800000000000002E-2</v>
      </c>
      <c r="GU16" s="13">
        <v>7.1099999999999997E-2</v>
      </c>
      <c r="GV16" s="16">
        <v>7.0999999999999994E-2</v>
      </c>
      <c r="GW16" s="15">
        <v>7.0999999999999994E-2</v>
      </c>
      <c r="GX16" s="14">
        <v>7.0999999999999994E-2</v>
      </c>
      <c r="GY16" s="13">
        <v>7.0800000000000002E-2</v>
      </c>
      <c r="GZ16" s="13">
        <v>7.4999999999999997E-2</v>
      </c>
      <c r="HA16" s="16">
        <v>8.2299999999999998E-2</v>
      </c>
      <c r="HB16" s="16">
        <v>8.8700000000000001E-2</v>
      </c>
      <c r="HC16" s="16">
        <v>9.6199999999999994E-2</v>
      </c>
      <c r="HD16" s="16">
        <v>9.8799999999999999E-2</v>
      </c>
      <c r="HE16" s="16">
        <v>0.1032</v>
      </c>
      <c r="HF16" s="16">
        <v>0.10639999999999999</v>
      </c>
      <c r="HG16" s="16">
        <v>0.1119</v>
      </c>
      <c r="HH16" s="16">
        <v>0.1169</v>
      </c>
      <c r="HI16" s="16">
        <v>0.1208</v>
      </c>
      <c r="HJ16" s="16">
        <v>0.1237</v>
      </c>
      <c r="HK16" s="16">
        <v>0.12620000000000001</v>
      </c>
      <c r="HL16" s="14">
        <v>0.1255</v>
      </c>
      <c r="HM16" s="14">
        <v>0.12640000000000001</v>
      </c>
      <c r="HN16" s="14">
        <v>0.12970000000000001</v>
      </c>
      <c r="HO16" s="14">
        <v>0.12989999999999999</v>
      </c>
      <c r="HP16" s="14">
        <v>0.1305</v>
      </c>
      <c r="HQ16" s="14">
        <v>0.1321</v>
      </c>
      <c r="HR16" s="14">
        <v>0.13289999999999999</v>
      </c>
      <c r="HS16" s="14">
        <v>0.13300000000000001</v>
      </c>
      <c r="HT16" s="14">
        <v>0.13239999999999999</v>
      </c>
      <c r="HU16" s="14">
        <v>0.1303</v>
      </c>
      <c r="HV16" s="14">
        <v>0.13109999999999999</v>
      </c>
      <c r="HW16" s="14">
        <v>0.13039999999999999</v>
      </c>
      <c r="HX16" s="14">
        <v>0.13009999999999999</v>
      </c>
      <c r="HY16" s="13">
        <v>0.1303</v>
      </c>
      <c r="HZ16" s="16">
        <v>0.13089999999999999</v>
      </c>
      <c r="IA16" s="14">
        <v>0.12720000000000001</v>
      </c>
      <c r="IB16" s="14">
        <v>0.12509999999999999</v>
      </c>
      <c r="IC16" s="13">
        <v>0.1246</v>
      </c>
      <c r="ID16" s="13">
        <v>0.12379999999999999</v>
      </c>
      <c r="IE16" s="16">
        <v>0.12520000000000001</v>
      </c>
      <c r="IF16" s="15">
        <v>0.1249</v>
      </c>
      <c r="IG16" s="15">
        <v>0.1444</v>
      </c>
      <c r="IH16" s="15">
        <v>0.1368</v>
      </c>
      <c r="II16" s="16">
        <v>0.1333</v>
      </c>
      <c r="IJ16" s="16">
        <v>0.1326</v>
      </c>
      <c r="IK16" s="16">
        <v>0.12870000000000001</v>
      </c>
      <c r="IL16" s="16">
        <v>0.1255</v>
      </c>
      <c r="IM16" s="15">
        <v>0.12920000000000001</v>
      </c>
      <c r="IN16" s="14">
        <v>0.12889999999999999</v>
      </c>
      <c r="IO16" s="13">
        <v>0.12759999999999999</v>
      </c>
      <c r="IP16" s="16">
        <v>0.127</v>
      </c>
      <c r="IQ16" s="16">
        <v>0.12690000000000001</v>
      </c>
      <c r="IR16" s="15">
        <v>0.12640000000000001</v>
      </c>
      <c r="IS16" s="15">
        <v>0.1198</v>
      </c>
      <c r="IT16" s="15">
        <v>0.1186</v>
      </c>
      <c r="IU16" s="15">
        <v>0.11899999999999999</v>
      </c>
      <c r="IV16" s="16">
        <v>0.1177</v>
      </c>
      <c r="IW16" s="16">
        <v>0.1113</v>
      </c>
      <c r="IX16" s="16">
        <v>0.1086</v>
      </c>
      <c r="IY16" s="14">
        <v>0.1108</v>
      </c>
      <c r="IZ16" s="13">
        <v>0.11020000000000001</v>
      </c>
      <c r="JA16" s="13">
        <v>0.1087</v>
      </c>
      <c r="JB16" s="13">
        <v>0.1077</v>
      </c>
      <c r="JC16" s="15">
        <v>0.1081</v>
      </c>
      <c r="JD16" s="14">
        <v>0.1061</v>
      </c>
      <c r="JE16" s="13">
        <v>0.10589999999999999</v>
      </c>
    </row>
    <row r="17" spans="1:265" ht="12.75" customHeight="1">
      <c r="A17" s="60"/>
      <c r="B17" s="60"/>
      <c r="C17" s="60"/>
      <c r="D17" s="29" t="s">
        <v>30</v>
      </c>
      <c r="E17" s="20">
        <v>15</v>
      </c>
      <c r="F17" s="19" t="s">
        <v>71</v>
      </c>
      <c r="G17" s="27">
        <v>9.8799999999999999E-2</v>
      </c>
      <c r="H17" s="27">
        <v>9.5600000000000004E-2</v>
      </c>
      <c r="I17" s="27">
        <v>9.9099999999999994E-2</v>
      </c>
      <c r="J17" s="27">
        <v>0.1031</v>
      </c>
      <c r="K17" s="27">
        <v>0.1023</v>
      </c>
      <c r="L17" s="27">
        <v>0.1008</v>
      </c>
      <c r="M17" s="27">
        <v>9.69E-2</v>
      </c>
      <c r="N17" s="27">
        <v>9.4600000000000004E-2</v>
      </c>
      <c r="O17" s="27">
        <v>9.7000000000000003E-2</v>
      </c>
      <c r="P17" s="27">
        <v>9.1200000000000003E-2</v>
      </c>
      <c r="Q17" s="27">
        <v>8.72E-2</v>
      </c>
      <c r="R17" s="27">
        <v>9.1800000000000007E-2</v>
      </c>
      <c r="S17" s="27">
        <v>8.8499999999999995E-2</v>
      </c>
      <c r="T17" s="27">
        <v>9.11E-2</v>
      </c>
      <c r="U17" s="27">
        <v>9.2999999999999999E-2</v>
      </c>
      <c r="V17" s="27">
        <v>9.8400000000000001E-2</v>
      </c>
      <c r="W17" s="27">
        <v>9.9500000000000005E-2</v>
      </c>
      <c r="X17" s="27">
        <v>0.10100000000000001</v>
      </c>
      <c r="Y17" s="27">
        <v>9.8900000000000002E-2</v>
      </c>
      <c r="Z17" s="27">
        <v>0.10100000000000001</v>
      </c>
      <c r="AA17" s="27">
        <v>0.11219999999999999</v>
      </c>
      <c r="AB17" s="27">
        <v>0.108</v>
      </c>
      <c r="AC17" s="27">
        <v>0.10879999999999999</v>
      </c>
      <c r="AD17" s="27">
        <v>0.10340000000000001</v>
      </c>
      <c r="AE17" s="27">
        <v>0.1018</v>
      </c>
      <c r="AF17" s="27">
        <v>9.9299999999999999E-2</v>
      </c>
      <c r="AG17" s="27">
        <v>0.1056</v>
      </c>
      <c r="AH17" s="27">
        <v>9.7699999999999995E-2</v>
      </c>
      <c r="AI17" s="27">
        <v>0.104</v>
      </c>
      <c r="AJ17" s="27">
        <v>0.1017</v>
      </c>
      <c r="AK17" s="27">
        <v>0.1038</v>
      </c>
      <c r="AL17" s="27">
        <v>0.1043</v>
      </c>
      <c r="AM17" s="27">
        <v>0.10009999999999999</v>
      </c>
      <c r="AN17" s="27">
        <v>0.1021</v>
      </c>
      <c r="AO17" s="27">
        <v>9.74E-2</v>
      </c>
      <c r="AP17" s="27">
        <v>8.8300000000000003E-2</v>
      </c>
      <c r="AQ17" s="27">
        <v>0.1019</v>
      </c>
      <c r="AR17" s="27">
        <v>0.10249999999999999</v>
      </c>
      <c r="AS17" s="27">
        <v>0.1031</v>
      </c>
      <c r="AT17" s="27">
        <v>0.1086</v>
      </c>
      <c r="AU17" s="27">
        <v>0.1119</v>
      </c>
      <c r="AV17" s="27">
        <v>0.11409999999999999</v>
      </c>
      <c r="AW17" s="27">
        <v>0.1134</v>
      </c>
      <c r="AX17" s="27">
        <v>0.11509999999999999</v>
      </c>
      <c r="AY17" s="27">
        <v>0.1195</v>
      </c>
      <c r="AZ17" s="27">
        <v>0.1217</v>
      </c>
      <c r="BA17" s="27">
        <v>0.12330000000000001</v>
      </c>
      <c r="BB17" s="27">
        <v>0.11940000000000001</v>
      </c>
      <c r="BC17" s="27">
        <v>0.1177</v>
      </c>
      <c r="BD17" s="27">
        <v>0.1164</v>
      </c>
      <c r="BE17" s="27">
        <v>0.1153</v>
      </c>
      <c r="BF17" s="27">
        <v>0.1208</v>
      </c>
      <c r="BG17" s="27">
        <v>0.122</v>
      </c>
      <c r="BH17" s="27">
        <v>0.1205</v>
      </c>
      <c r="BI17" s="27">
        <v>0.12139999999999999</v>
      </c>
      <c r="BJ17" s="27">
        <v>0.12089999999999999</v>
      </c>
      <c r="BK17" s="27">
        <v>0.1183</v>
      </c>
      <c r="BL17" s="27">
        <v>0.11310000000000001</v>
      </c>
      <c r="BM17" s="27">
        <v>0.1103</v>
      </c>
      <c r="BN17" s="27">
        <v>0.10780000000000001</v>
      </c>
      <c r="BO17" s="27">
        <v>0.1147</v>
      </c>
      <c r="BP17" s="27">
        <v>0.1118</v>
      </c>
      <c r="BQ17" s="27">
        <v>0.10970000000000001</v>
      </c>
      <c r="BR17" s="27">
        <v>0.12529999999999999</v>
      </c>
      <c r="BS17" s="27">
        <v>0.12970000000000001</v>
      </c>
      <c r="BT17" s="27">
        <v>0.1318</v>
      </c>
      <c r="BU17" s="27">
        <v>0.12989999999999999</v>
      </c>
      <c r="BV17" s="27">
        <v>0.12670000000000001</v>
      </c>
      <c r="BW17" s="27">
        <v>0.1206</v>
      </c>
      <c r="BX17" s="27">
        <v>0.1187</v>
      </c>
      <c r="BY17" s="27">
        <v>0.1154</v>
      </c>
      <c r="BZ17" s="27">
        <v>0.11600000000000001</v>
      </c>
      <c r="CA17" s="27">
        <v>0.1171</v>
      </c>
      <c r="CB17" s="27">
        <v>0.12180000000000001</v>
      </c>
      <c r="CC17" s="27">
        <v>0.1207</v>
      </c>
      <c r="CD17" s="27">
        <v>0.11940000000000001</v>
      </c>
      <c r="CE17" s="27">
        <v>0.1206</v>
      </c>
      <c r="CF17" s="27">
        <v>0.13020000000000001</v>
      </c>
      <c r="CG17" s="27">
        <v>0.13039999999999999</v>
      </c>
      <c r="CH17" s="27">
        <v>0.1226</v>
      </c>
      <c r="CI17" s="27">
        <v>0.1163</v>
      </c>
      <c r="CJ17" s="27">
        <v>0.12039999999999999</v>
      </c>
      <c r="CK17" s="27">
        <v>0.11409999999999999</v>
      </c>
      <c r="CL17" s="27">
        <v>0.11260000000000001</v>
      </c>
      <c r="CM17" s="27">
        <v>0.13819999999999999</v>
      </c>
      <c r="CN17" s="27">
        <v>0.13619999999999999</v>
      </c>
      <c r="CO17" s="27">
        <v>0.1318</v>
      </c>
      <c r="CP17" s="27">
        <v>0.14960000000000001</v>
      </c>
      <c r="CQ17" s="27">
        <v>0.15210000000000001</v>
      </c>
      <c r="CR17" s="27">
        <v>0.15049999999999999</v>
      </c>
      <c r="CS17" s="27">
        <v>0.15260000000000001</v>
      </c>
      <c r="CT17" s="27">
        <v>0.1492</v>
      </c>
      <c r="CU17" s="27">
        <v>0.14680000000000001</v>
      </c>
      <c r="CV17" s="27">
        <v>0.1452</v>
      </c>
      <c r="CW17" s="27">
        <v>0.1406</v>
      </c>
      <c r="CX17" s="27">
        <v>0.1201</v>
      </c>
      <c r="CY17" s="27">
        <v>0.1268</v>
      </c>
      <c r="CZ17" s="27">
        <v>0.1181</v>
      </c>
      <c r="DA17" s="27">
        <v>0.1177</v>
      </c>
      <c r="DB17" s="27">
        <v>0.10730000000000001</v>
      </c>
      <c r="DC17" s="27">
        <v>9.6600000000000005E-2</v>
      </c>
      <c r="DD17" s="27">
        <v>9.4399999999999998E-2</v>
      </c>
      <c r="DE17" s="27">
        <v>8.2199999999999995E-2</v>
      </c>
      <c r="DF17" s="27">
        <v>7.4899999999999994E-2</v>
      </c>
      <c r="DG17" s="27">
        <v>8.6499999999999994E-2</v>
      </c>
      <c r="DH17" s="27">
        <v>8.6099999999999996E-2</v>
      </c>
      <c r="DI17" s="27">
        <v>7.8200000000000006E-2</v>
      </c>
      <c r="DJ17" s="27">
        <v>7.3499999999999996E-2</v>
      </c>
      <c r="DK17" s="27">
        <v>7.3499999999999996E-2</v>
      </c>
      <c r="DL17" s="27">
        <v>7.7899999999999997E-2</v>
      </c>
      <c r="DM17" s="27">
        <v>7.7799999999999994E-2</v>
      </c>
      <c r="DN17" s="27">
        <v>8.3299999999999999E-2</v>
      </c>
      <c r="DO17" s="27">
        <v>8.1100000000000005E-2</v>
      </c>
      <c r="DP17" s="27">
        <v>8.0799999999999997E-2</v>
      </c>
      <c r="DQ17" s="27">
        <v>7.9899999999999999E-2</v>
      </c>
      <c r="DR17" s="27">
        <v>7.6700000000000004E-2</v>
      </c>
      <c r="DS17" s="27">
        <v>7.1499999999999994E-2</v>
      </c>
      <c r="DT17" s="27">
        <v>5.8999999999999997E-2</v>
      </c>
      <c r="DU17" s="27">
        <v>5.2900000000000003E-2</v>
      </c>
      <c r="DV17" s="27">
        <v>4.24E-2</v>
      </c>
      <c r="DW17" s="27">
        <v>4.7300000000000002E-2</v>
      </c>
      <c r="DX17" s="27">
        <v>4.7800000000000002E-2</v>
      </c>
      <c r="DY17" s="27">
        <v>4.2799999999999998E-2</v>
      </c>
      <c r="DZ17" s="27">
        <v>4.3200000000000002E-2</v>
      </c>
      <c r="EA17" s="27">
        <v>4.3099999999999999E-2</v>
      </c>
      <c r="EB17" s="27">
        <v>4.41E-2</v>
      </c>
      <c r="EC17" s="27">
        <v>4.3900000000000002E-2</v>
      </c>
      <c r="ED17" s="27">
        <v>4.3799999999999999E-2</v>
      </c>
      <c r="EE17" s="27">
        <v>4.3799999999999999E-2</v>
      </c>
      <c r="EF17" s="27">
        <v>4.4299999999999999E-2</v>
      </c>
      <c r="EG17" s="27">
        <v>0.04</v>
      </c>
      <c r="EH17" s="27">
        <v>3.7699999999999997E-2</v>
      </c>
      <c r="EI17" s="27">
        <v>4.2599999999999999E-2</v>
      </c>
      <c r="EJ17" s="27">
        <v>4.2599999999999999E-2</v>
      </c>
      <c r="EK17" s="27">
        <v>4.2200000000000001E-2</v>
      </c>
      <c r="EL17" s="27">
        <v>4.3400000000000001E-2</v>
      </c>
      <c r="EM17" s="27">
        <v>3.61E-2</v>
      </c>
      <c r="EN17" s="27">
        <v>3.8399999999999997E-2</v>
      </c>
      <c r="EO17" s="27">
        <v>3.32E-2</v>
      </c>
      <c r="EP17" s="27">
        <v>3.0599999999999999E-2</v>
      </c>
      <c r="EQ17" s="27">
        <v>2.98E-2</v>
      </c>
      <c r="ER17" s="27">
        <v>3.0499999999999999E-2</v>
      </c>
      <c r="ES17" s="27">
        <v>2.8199999999999999E-2</v>
      </c>
      <c r="ET17" s="27">
        <v>2.5100000000000001E-2</v>
      </c>
      <c r="EU17" s="27">
        <v>2.9100000000000001E-2</v>
      </c>
      <c r="EV17" s="27">
        <v>3.2000000000000001E-2</v>
      </c>
      <c r="EW17" s="27">
        <v>3.2199999999999999E-2</v>
      </c>
      <c r="EX17" s="27">
        <v>2.9100000000000001E-2</v>
      </c>
      <c r="EY17" s="27">
        <v>3.2000000000000001E-2</v>
      </c>
      <c r="EZ17" s="27">
        <v>3.3700000000000001E-2</v>
      </c>
      <c r="FA17" s="27">
        <v>3.5799999999999998E-2</v>
      </c>
      <c r="FB17" s="27">
        <v>3.7600000000000001E-2</v>
      </c>
      <c r="FC17" s="27">
        <v>3.6499999999999998E-2</v>
      </c>
      <c r="FD17" s="27">
        <v>3.3799999999999997E-2</v>
      </c>
      <c r="FE17" s="27">
        <v>3.1E-2</v>
      </c>
      <c r="FF17" s="27">
        <v>2.8299999999999999E-2</v>
      </c>
      <c r="FG17" s="27">
        <v>2.76E-2</v>
      </c>
      <c r="FH17" s="27">
        <v>2.92E-2</v>
      </c>
      <c r="FI17" s="27">
        <v>3.3599999999999998E-2</v>
      </c>
      <c r="FJ17" s="27">
        <v>3.5499999999999997E-2</v>
      </c>
      <c r="FK17" s="27">
        <v>3.6499999999999998E-2</v>
      </c>
      <c r="FL17" s="27">
        <v>3.7600000000000001E-2</v>
      </c>
      <c r="FM17" s="27">
        <v>4.0099999999999997E-2</v>
      </c>
      <c r="FN17" s="27">
        <v>3.7199999999999997E-2</v>
      </c>
      <c r="FO17" s="27">
        <v>3.7900000000000003E-2</v>
      </c>
      <c r="FP17" s="27">
        <v>3.6499999999999998E-2</v>
      </c>
      <c r="FQ17" s="27">
        <v>3.3599999999999998E-2</v>
      </c>
      <c r="FR17" s="27">
        <v>3.39E-2</v>
      </c>
      <c r="FS17" s="27">
        <v>3.6600000000000001E-2</v>
      </c>
      <c r="FT17" s="27">
        <v>3.7100000000000001E-2</v>
      </c>
      <c r="FU17" s="27">
        <v>4.3200000000000002E-2</v>
      </c>
      <c r="FV17" s="27">
        <v>3.6200000000000003E-2</v>
      </c>
      <c r="FW17" s="27">
        <v>3.5400000000000001E-2</v>
      </c>
      <c r="FX17" s="27">
        <v>3.4799999999999998E-2</v>
      </c>
      <c r="FY17" s="27">
        <v>3.3099999999999997E-2</v>
      </c>
      <c r="FZ17" s="26">
        <v>3.4700000000000002E-2</v>
      </c>
      <c r="GA17" s="22">
        <v>3.3300000000000003E-2</v>
      </c>
      <c r="GB17" s="22">
        <v>3.1300000000000001E-2</v>
      </c>
      <c r="GC17" s="22">
        <v>2.9899999999999999E-2</v>
      </c>
      <c r="GD17" s="22">
        <v>2.9700000000000001E-2</v>
      </c>
      <c r="GE17" s="22">
        <v>3.9600000000000003E-2</v>
      </c>
      <c r="GF17" s="22">
        <v>4.19E-2</v>
      </c>
      <c r="GG17" s="27">
        <v>3.9800000000000002E-2</v>
      </c>
      <c r="GH17" s="26">
        <v>3.4799999999999998E-2</v>
      </c>
      <c r="GI17" s="26">
        <v>3.0700000000000002E-2</v>
      </c>
      <c r="GJ17" s="22">
        <v>3.2300000000000002E-2</v>
      </c>
      <c r="GK17" s="22">
        <v>3.5999999999999997E-2</v>
      </c>
      <c r="GL17" s="27">
        <v>3.0200000000000001E-2</v>
      </c>
      <c r="GM17" s="27">
        <v>3.2099999999999997E-2</v>
      </c>
      <c r="GN17" s="26">
        <v>3.1699999999999999E-2</v>
      </c>
      <c r="GO17" s="22">
        <v>2.9700000000000001E-2</v>
      </c>
      <c r="GP17" s="22">
        <v>3.15E-2</v>
      </c>
      <c r="GQ17" s="22">
        <v>3.4000000000000002E-2</v>
      </c>
      <c r="GR17" s="25">
        <v>2.98E-2</v>
      </c>
      <c r="GS17" s="24">
        <v>3.1399999999999997E-2</v>
      </c>
      <c r="GT17" s="23">
        <v>3.4700000000000002E-2</v>
      </c>
      <c r="GU17" s="22">
        <v>3.2099999999999997E-2</v>
      </c>
      <c r="GV17" s="25">
        <v>3.32E-2</v>
      </c>
      <c r="GW17" s="24">
        <v>3.44E-2</v>
      </c>
      <c r="GX17" s="23">
        <v>2.9899999999999999E-2</v>
      </c>
      <c r="GY17" s="22">
        <v>3.32E-2</v>
      </c>
      <c r="GZ17" s="22">
        <v>3.3099999999999997E-2</v>
      </c>
      <c r="HA17" s="25">
        <v>2.8400000000000002E-2</v>
      </c>
      <c r="HB17" s="25">
        <v>4.2500000000000003E-2</v>
      </c>
      <c r="HC17" s="25">
        <v>4.1700000000000001E-2</v>
      </c>
      <c r="HD17" s="25">
        <v>3.6200000000000003E-2</v>
      </c>
      <c r="HE17" s="25">
        <v>3.78E-2</v>
      </c>
      <c r="HF17" s="25">
        <v>3.9800000000000002E-2</v>
      </c>
      <c r="HG17" s="25">
        <v>4.1599999999999998E-2</v>
      </c>
      <c r="HH17" s="25">
        <v>4.7300000000000002E-2</v>
      </c>
      <c r="HI17" s="25">
        <v>5.16E-2</v>
      </c>
      <c r="HJ17" s="25">
        <v>4.9700000000000001E-2</v>
      </c>
      <c r="HK17" s="25">
        <v>5.11E-2</v>
      </c>
      <c r="HL17" s="23">
        <v>5.0200000000000002E-2</v>
      </c>
      <c r="HM17" s="23">
        <v>5.2299999999999999E-2</v>
      </c>
      <c r="HN17" s="23">
        <v>5.9200000000000003E-2</v>
      </c>
      <c r="HO17" s="23">
        <v>6.0400000000000002E-2</v>
      </c>
      <c r="HP17" s="23">
        <v>5.8799999999999998E-2</v>
      </c>
      <c r="HQ17" s="23">
        <v>5.7599999999999998E-2</v>
      </c>
      <c r="HR17" s="23">
        <v>5.96E-2</v>
      </c>
      <c r="HS17" s="23">
        <v>5.79E-2</v>
      </c>
      <c r="HT17" s="23">
        <v>6.2899999999999998E-2</v>
      </c>
      <c r="HU17" s="23">
        <v>6.4699999999999994E-2</v>
      </c>
      <c r="HV17" s="23">
        <v>5.7799999999999997E-2</v>
      </c>
      <c r="HW17" s="23">
        <v>6.0400000000000002E-2</v>
      </c>
      <c r="HX17" s="23">
        <v>6.13E-2</v>
      </c>
      <c r="HY17" s="22">
        <v>5.57E-2</v>
      </c>
      <c r="HZ17" s="25">
        <v>6.2199999999999998E-2</v>
      </c>
      <c r="IA17" s="23">
        <v>5.7500000000000002E-2</v>
      </c>
      <c r="IB17" s="23">
        <v>5.4699999999999999E-2</v>
      </c>
      <c r="IC17" s="22">
        <v>5.5300000000000002E-2</v>
      </c>
      <c r="ID17" s="22">
        <v>5.4300000000000001E-2</v>
      </c>
      <c r="IE17" s="25">
        <v>5.6099999999999997E-2</v>
      </c>
      <c r="IF17" s="24">
        <v>5.7599999999999998E-2</v>
      </c>
      <c r="IG17" s="24">
        <v>6.0900000000000003E-2</v>
      </c>
      <c r="IH17" s="24">
        <v>6.0499999999999998E-2</v>
      </c>
      <c r="II17" s="25">
        <v>6.0999999999999999E-2</v>
      </c>
      <c r="IJ17" s="25">
        <v>5.8000000000000003E-2</v>
      </c>
      <c r="IK17" s="25">
        <v>5.9700000000000003E-2</v>
      </c>
      <c r="IL17" s="25">
        <v>5.9200000000000003E-2</v>
      </c>
      <c r="IM17" s="24">
        <v>6.0499999999999998E-2</v>
      </c>
      <c r="IN17" s="23">
        <v>5.3100000000000001E-2</v>
      </c>
      <c r="IO17" s="22">
        <v>5.1400000000000001E-2</v>
      </c>
      <c r="IP17" s="25">
        <v>5.3999999999999999E-2</v>
      </c>
      <c r="IQ17" s="25">
        <v>5.4699999999999999E-2</v>
      </c>
      <c r="IR17" s="24">
        <v>5.7700000000000001E-2</v>
      </c>
      <c r="IS17" s="24">
        <v>5.9499999999999997E-2</v>
      </c>
      <c r="IT17" s="24">
        <v>5.6500000000000002E-2</v>
      </c>
      <c r="IU17" s="24">
        <v>5.7799999999999997E-2</v>
      </c>
      <c r="IV17" s="25">
        <v>5.6899999999999999E-2</v>
      </c>
      <c r="IW17" s="25">
        <v>5.1200000000000002E-2</v>
      </c>
      <c r="IX17" s="25">
        <v>5.2900000000000003E-2</v>
      </c>
      <c r="IY17" s="23">
        <v>5.7000000000000002E-2</v>
      </c>
      <c r="IZ17" s="22">
        <v>5.4399999999999997E-2</v>
      </c>
      <c r="JA17" s="22">
        <v>5.21E-2</v>
      </c>
      <c r="JB17" s="22">
        <v>5.3800000000000001E-2</v>
      </c>
      <c r="JC17" s="24">
        <v>4.9700000000000001E-2</v>
      </c>
      <c r="JD17" s="23">
        <v>5.33E-2</v>
      </c>
      <c r="JE17" s="22">
        <v>5.4899999999999997E-2</v>
      </c>
    </row>
    <row r="18" spans="1:265" ht="12.75" customHeight="1">
      <c r="A18" s="60"/>
      <c r="B18" s="60"/>
      <c r="C18" s="60"/>
      <c r="D18" s="29" t="s">
        <v>70</v>
      </c>
      <c r="E18" s="20">
        <v>16</v>
      </c>
      <c r="F18" s="19" t="s">
        <v>69</v>
      </c>
      <c r="G18" s="18">
        <v>0.1265</v>
      </c>
      <c r="H18" s="18">
        <v>0.11260000000000001</v>
      </c>
      <c r="I18" s="18">
        <v>0.12330000000000001</v>
      </c>
      <c r="J18" s="18">
        <v>0.1376</v>
      </c>
      <c r="K18" s="18">
        <v>0.13320000000000001</v>
      </c>
      <c r="L18" s="18">
        <v>0.12640000000000001</v>
      </c>
      <c r="M18" s="18">
        <v>0.1226</v>
      </c>
      <c r="N18" s="18">
        <v>0.1206</v>
      </c>
      <c r="O18" s="18">
        <v>0.1288</v>
      </c>
      <c r="P18" s="18">
        <v>0.12379999999999999</v>
      </c>
      <c r="Q18" s="18">
        <v>0.1178</v>
      </c>
      <c r="R18" s="18">
        <v>0.1116</v>
      </c>
      <c r="S18" s="18">
        <v>0.1142</v>
      </c>
      <c r="T18" s="18">
        <v>0.1154</v>
      </c>
      <c r="U18" s="18">
        <v>0.1164</v>
      </c>
      <c r="V18" s="18">
        <v>0.11749999999999999</v>
      </c>
      <c r="W18" s="18">
        <v>0.1168</v>
      </c>
      <c r="X18" s="18">
        <v>0.11700000000000001</v>
      </c>
      <c r="Y18" s="18">
        <v>0.11550000000000001</v>
      </c>
      <c r="Z18" s="18">
        <v>0.1081</v>
      </c>
      <c r="AA18" s="18">
        <v>0.11020000000000001</v>
      </c>
      <c r="AB18" s="18">
        <v>0.1066</v>
      </c>
      <c r="AC18" s="18">
        <v>0.10879999999999999</v>
      </c>
      <c r="AD18" s="18">
        <v>0.1043</v>
      </c>
      <c r="AE18" s="18">
        <v>0.13689999999999999</v>
      </c>
      <c r="AF18" s="18">
        <v>0.14219999999999999</v>
      </c>
      <c r="AG18" s="18">
        <v>0.1321</v>
      </c>
      <c r="AH18" s="18">
        <v>0.1368</v>
      </c>
      <c r="AI18" s="18">
        <v>0.14030000000000001</v>
      </c>
      <c r="AJ18" s="18">
        <v>0.1439</v>
      </c>
      <c r="AK18" s="18">
        <v>0.14610000000000001</v>
      </c>
      <c r="AL18" s="18">
        <v>0.14050000000000001</v>
      </c>
      <c r="AM18" s="18">
        <v>0.13769999999999999</v>
      </c>
      <c r="AN18" s="18">
        <v>0.1353</v>
      </c>
      <c r="AO18" s="18">
        <v>0.13669999999999999</v>
      </c>
      <c r="AP18" s="18">
        <v>0.13250000000000001</v>
      </c>
      <c r="AQ18" s="18">
        <v>0.13739999999999999</v>
      </c>
      <c r="AR18" s="18">
        <v>0.13780000000000001</v>
      </c>
      <c r="AS18" s="18">
        <v>0.13900000000000001</v>
      </c>
      <c r="AT18" s="18">
        <v>0.1404</v>
      </c>
      <c r="AU18" s="18">
        <v>0.14530000000000001</v>
      </c>
      <c r="AV18" s="18">
        <v>0.14419999999999999</v>
      </c>
      <c r="AW18" s="18">
        <v>0.14729999999999999</v>
      </c>
      <c r="AX18" s="18">
        <v>0.14630000000000001</v>
      </c>
      <c r="AY18" s="18">
        <v>0.14410000000000001</v>
      </c>
      <c r="AZ18" s="18">
        <v>0.14729999999999999</v>
      </c>
      <c r="BA18" s="18">
        <v>0.15540000000000001</v>
      </c>
      <c r="BB18" s="18">
        <v>0.1474</v>
      </c>
      <c r="BC18" s="18">
        <v>0.14899999999999999</v>
      </c>
      <c r="BD18" s="18">
        <v>0.15129999999999999</v>
      </c>
      <c r="BE18" s="18">
        <v>0.14910000000000001</v>
      </c>
      <c r="BF18" s="18">
        <v>0.15229999999999999</v>
      </c>
      <c r="BG18" s="18">
        <v>0.152</v>
      </c>
      <c r="BH18" s="18">
        <v>0.14949999999999999</v>
      </c>
      <c r="BI18" s="18">
        <v>0.14899999999999999</v>
      </c>
      <c r="BJ18" s="18">
        <v>0.14729999999999999</v>
      </c>
      <c r="BK18" s="18">
        <v>0.1482</v>
      </c>
      <c r="BL18" s="18">
        <v>0.14560000000000001</v>
      </c>
      <c r="BM18" s="18">
        <v>0.14499999999999999</v>
      </c>
      <c r="BN18" s="18">
        <v>0.1371</v>
      </c>
      <c r="BO18" s="18">
        <v>0.1537</v>
      </c>
      <c r="BP18" s="18">
        <v>0.15379999999999999</v>
      </c>
      <c r="BQ18" s="18">
        <v>0.15629999999999999</v>
      </c>
      <c r="BR18" s="18">
        <v>0.1593</v>
      </c>
      <c r="BS18" s="18">
        <v>0.1623</v>
      </c>
      <c r="BT18" s="18">
        <v>0.16300000000000001</v>
      </c>
      <c r="BU18" s="18">
        <v>0.1613</v>
      </c>
      <c r="BV18" s="18">
        <v>0.15909999999999999</v>
      </c>
      <c r="BW18" s="18">
        <v>0.15620000000000001</v>
      </c>
      <c r="BX18" s="18">
        <v>0.1555</v>
      </c>
      <c r="BY18" s="18">
        <v>0.1555</v>
      </c>
      <c r="BZ18" s="18">
        <v>0.1537</v>
      </c>
      <c r="CA18" s="18">
        <v>0.1573</v>
      </c>
      <c r="CB18" s="18">
        <v>0.1643</v>
      </c>
      <c r="CC18" s="18">
        <v>0.161</v>
      </c>
      <c r="CD18" s="18">
        <v>0.15179999999999999</v>
      </c>
      <c r="CE18" s="18">
        <v>0.15479999999999999</v>
      </c>
      <c r="CF18" s="18">
        <v>0.16689999999999999</v>
      </c>
      <c r="CG18" s="18">
        <v>0.1676</v>
      </c>
      <c r="CH18" s="18">
        <v>0.1615</v>
      </c>
      <c r="CI18" s="18">
        <v>0.15329999999999999</v>
      </c>
      <c r="CJ18" s="18">
        <v>0.16270000000000001</v>
      </c>
      <c r="CK18" s="18">
        <v>0.15329999999999999</v>
      </c>
      <c r="CL18" s="18">
        <v>0.16200000000000001</v>
      </c>
      <c r="CM18" s="18">
        <v>0.17199999999999999</v>
      </c>
      <c r="CN18" s="18">
        <v>0.1716</v>
      </c>
      <c r="CO18" s="18">
        <v>0.16389999999999999</v>
      </c>
      <c r="CP18" s="18">
        <v>0.17299999999999999</v>
      </c>
      <c r="CQ18" s="18">
        <v>0.17780000000000001</v>
      </c>
      <c r="CR18" s="18">
        <v>0.17449999999999999</v>
      </c>
      <c r="CS18" s="18">
        <v>0.1779</v>
      </c>
      <c r="CT18" s="18">
        <v>0.17780000000000001</v>
      </c>
      <c r="CU18" s="18">
        <v>0.17430000000000001</v>
      </c>
      <c r="CV18" s="18">
        <v>0.17730000000000001</v>
      </c>
      <c r="CW18" s="18">
        <v>0.1736</v>
      </c>
      <c r="CX18" s="18">
        <v>0.1666</v>
      </c>
      <c r="CY18" s="18">
        <v>0.16880000000000001</v>
      </c>
      <c r="CZ18" s="18">
        <v>0.1716</v>
      </c>
      <c r="DA18" s="18">
        <v>0.16830000000000001</v>
      </c>
      <c r="DB18" s="18">
        <v>0.1696</v>
      </c>
      <c r="DC18" s="18">
        <v>0.1641</v>
      </c>
      <c r="DD18" s="18">
        <v>0.16109999999999999</v>
      </c>
      <c r="DE18" s="18">
        <v>0.1507</v>
      </c>
      <c r="DF18" s="18">
        <v>0.14599999999999999</v>
      </c>
      <c r="DG18" s="18">
        <v>0.14349999999999999</v>
      </c>
      <c r="DH18" s="18">
        <v>0.14169999999999999</v>
      </c>
      <c r="DI18" s="18">
        <v>0.1333</v>
      </c>
      <c r="DJ18" s="18">
        <v>0.1336</v>
      </c>
      <c r="DK18" s="18">
        <v>0.13289999999999999</v>
      </c>
      <c r="DL18" s="18">
        <v>0.1391</v>
      </c>
      <c r="DM18" s="18">
        <v>0.13600000000000001</v>
      </c>
      <c r="DN18" s="18">
        <v>0.14000000000000001</v>
      </c>
      <c r="DO18" s="18">
        <v>0.1363</v>
      </c>
      <c r="DP18" s="18">
        <v>0.14169999999999999</v>
      </c>
      <c r="DQ18" s="18">
        <v>0.1351</v>
      </c>
      <c r="DR18" s="18">
        <v>0.13289999999999999</v>
      </c>
      <c r="DS18" s="18">
        <v>0.1275</v>
      </c>
      <c r="DT18" s="18">
        <v>0.10539999999999999</v>
      </c>
      <c r="DU18" s="18">
        <v>9.5799999999999996E-2</v>
      </c>
      <c r="DV18" s="18">
        <v>8.48E-2</v>
      </c>
      <c r="DW18" s="18">
        <v>8.6800000000000002E-2</v>
      </c>
      <c r="DX18" s="18">
        <v>9.3100000000000002E-2</v>
      </c>
      <c r="DY18" s="18">
        <v>8.0799999999999997E-2</v>
      </c>
      <c r="DZ18" s="18">
        <v>8.3599999999999994E-2</v>
      </c>
      <c r="EA18" s="18">
        <v>8.1100000000000005E-2</v>
      </c>
      <c r="EB18" s="18">
        <v>8.1500000000000003E-2</v>
      </c>
      <c r="EC18" s="18">
        <v>8.1000000000000003E-2</v>
      </c>
      <c r="ED18" s="18">
        <v>7.8E-2</v>
      </c>
      <c r="EE18" s="18">
        <v>7.6999999999999999E-2</v>
      </c>
      <c r="EF18" s="18">
        <v>7.7499999999999999E-2</v>
      </c>
      <c r="EG18" s="18">
        <v>7.7100000000000002E-2</v>
      </c>
      <c r="EH18" s="18">
        <v>7.3499999999999996E-2</v>
      </c>
      <c r="EI18" s="18">
        <v>7.0000000000000007E-2</v>
      </c>
      <c r="EJ18" s="18">
        <v>7.3099999999999998E-2</v>
      </c>
      <c r="EK18" s="18">
        <v>7.4099999999999999E-2</v>
      </c>
      <c r="EL18" s="18">
        <v>7.8399999999999997E-2</v>
      </c>
      <c r="EM18" s="18">
        <v>7.4800000000000005E-2</v>
      </c>
      <c r="EN18" s="18">
        <v>7.3499999999999996E-2</v>
      </c>
      <c r="EO18" s="18">
        <v>6.7199999999999996E-2</v>
      </c>
      <c r="EP18" s="18">
        <v>6.4799999999999996E-2</v>
      </c>
      <c r="EQ18" s="18">
        <v>6.6100000000000006E-2</v>
      </c>
      <c r="ER18" s="18">
        <v>6.5199999999999994E-2</v>
      </c>
      <c r="ES18" s="18">
        <v>6.3899999999999998E-2</v>
      </c>
      <c r="ET18" s="18">
        <v>6.2799999999999995E-2</v>
      </c>
      <c r="EU18" s="18">
        <v>6.4399999999999999E-2</v>
      </c>
      <c r="EV18" s="18">
        <v>6.6000000000000003E-2</v>
      </c>
      <c r="EW18" s="18">
        <v>6.2899999999999998E-2</v>
      </c>
      <c r="EX18" s="18">
        <v>6.0400000000000002E-2</v>
      </c>
      <c r="EY18" s="18">
        <v>6.5299999999999997E-2</v>
      </c>
      <c r="EZ18" s="18">
        <v>6.4600000000000005E-2</v>
      </c>
      <c r="FA18" s="18">
        <v>6.3100000000000003E-2</v>
      </c>
      <c r="FB18" s="18">
        <v>6.3E-2</v>
      </c>
      <c r="FC18" s="18">
        <v>5.67E-2</v>
      </c>
      <c r="FD18" s="18">
        <v>5.96E-2</v>
      </c>
      <c r="FE18" s="18">
        <v>5.7099999999999998E-2</v>
      </c>
      <c r="FF18" s="18">
        <v>4.9099999999999998E-2</v>
      </c>
      <c r="FG18" s="18">
        <v>6.0100000000000001E-2</v>
      </c>
      <c r="FH18" s="18">
        <v>5.7599999999999998E-2</v>
      </c>
      <c r="FI18" s="18">
        <v>5.7599999999999998E-2</v>
      </c>
      <c r="FJ18" s="18">
        <v>6.5699999999999995E-2</v>
      </c>
      <c r="FK18" s="18">
        <v>6.4699999999999994E-2</v>
      </c>
      <c r="FL18" s="18">
        <v>6.3E-2</v>
      </c>
      <c r="FM18" s="18">
        <v>6.1600000000000002E-2</v>
      </c>
      <c r="FN18" s="18">
        <v>6.2E-2</v>
      </c>
      <c r="FO18" s="18">
        <v>6.2899999999999998E-2</v>
      </c>
      <c r="FP18" s="18">
        <v>6.5100000000000005E-2</v>
      </c>
      <c r="FQ18" s="18">
        <v>5.8099999999999999E-2</v>
      </c>
      <c r="FR18" s="18">
        <v>5.8400000000000001E-2</v>
      </c>
      <c r="FS18" s="18">
        <v>6.2600000000000003E-2</v>
      </c>
      <c r="FT18" s="18">
        <v>6.5600000000000006E-2</v>
      </c>
      <c r="FU18" s="18">
        <v>6.4100000000000004E-2</v>
      </c>
      <c r="FV18" s="18">
        <v>6.4799999999999996E-2</v>
      </c>
      <c r="FW18" s="18">
        <v>6.8900000000000003E-2</v>
      </c>
      <c r="FX18" s="18">
        <v>6.9199999999999998E-2</v>
      </c>
      <c r="FY18" s="18">
        <v>6.7400000000000002E-2</v>
      </c>
      <c r="FZ18" s="17">
        <v>6.13E-2</v>
      </c>
      <c r="GA18" s="13">
        <v>6.1499999999999999E-2</v>
      </c>
      <c r="GB18" s="13">
        <v>6.2899999999999998E-2</v>
      </c>
      <c r="GC18" s="13">
        <v>5.96E-2</v>
      </c>
      <c r="GD18" s="13">
        <v>5.7599999999999998E-2</v>
      </c>
      <c r="GE18" s="13">
        <v>7.2400000000000006E-2</v>
      </c>
      <c r="GF18" s="13">
        <v>7.2800000000000004E-2</v>
      </c>
      <c r="GG18" s="18">
        <v>6.3299999999999995E-2</v>
      </c>
      <c r="GH18" s="17">
        <v>5.3499999999999999E-2</v>
      </c>
      <c r="GI18" s="17">
        <v>5.1499999999999997E-2</v>
      </c>
      <c r="GJ18" s="13">
        <v>5.0200000000000002E-2</v>
      </c>
      <c r="GK18" s="13">
        <v>5.2699999999999997E-2</v>
      </c>
      <c r="GL18" s="18">
        <v>4.48E-2</v>
      </c>
      <c r="GM18" s="18">
        <v>5.1299999999999998E-2</v>
      </c>
      <c r="GN18" s="17">
        <v>4.7800000000000002E-2</v>
      </c>
      <c r="GO18" s="13">
        <v>3.9199999999999999E-2</v>
      </c>
      <c r="GP18" s="13">
        <v>4.4299999999999999E-2</v>
      </c>
      <c r="GQ18" s="13">
        <v>4.9599999999999998E-2</v>
      </c>
      <c r="GR18" s="16">
        <v>5.0900000000000001E-2</v>
      </c>
      <c r="GS18" s="15">
        <v>4.1799999999999997E-2</v>
      </c>
      <c r="GT18" s="14">
        <v>0.05</v>
      </c>
      <c r="GU18" s="13">
        <v>4.9299999999999997E-2</v>
      </c>
      <c r="GV18" s="16">
        <v>5.21E-2</v>
      </c>
      <c r="GW18" s="15">
        <v>5.4600000000000003E-2</v>
      </c>
      <c r="GX18" s="14">
        <v>4.6100000000000002E-2</v>
      </c>
      <c r="GY18" s="13">
        <v>5.04E-2</v>
      </c>
      <c r="GZ18" s="13">
        <v>5.3400000000000003E-2</v>
      </c>
      <c r="HA18" s="16">
        <v>4.1000000000000002E-2</v>
      </c>
      <c r="HB18" s="16">
        <v>4.7699999999999999E-2</v>
      </c>
      <c r="HC18" s="16">
        <v>6.7000000000000004E-2</v>
      </c>
      <c r="HD18" s="16">
        <v>6.9900000000000004E-2</v>
      </c>
      <c r="HE18" s="16">
        <v>7.0999999999999994E-2</v>
      </c>
      <c r="HF18" s="16">
        <v>7.9399999999999998E-2</v>
      </c>
      <c r="HG18" s="16">
        <v>8.3900000000000002E-2</v>
      </c>
      <c r="HH18" s="16">
        <v>9.4600000000000004E-2</v>
      </c>
      <c r="HI18" s="16">
        <v>0.1007</v>
      </c>
      <c r="HJ18" s="16">
        <v>8.9099999999999999E-2</v>
      </c>
      <c r="HK18" s="16">
        <v>0.1017</v>
      </c>
      <c r="HL18" s="14">
        <v>0.1095</v>
      </c>
      <c r="HM18" s="14">
        <v>8.3900000000000002E-2</v>
      </c>
      <c r="HN18" s="14">
        <v>9.0899999999999995E-2</v>
      </c>
      <c r="HO18" s="14">
        <v>0.1061</v>
      </c>
      <c r="HP18" s="14">
        <v>0.1021</v>
      </c>
      <c r="HQ18" s="14">
        <v>9.8199999999999996E-2</v>
      </c>
      <c r="HR18" s="14">
        <v>0.10390000000000001</v>
      </c>
      <c r="HS18" s="14">
        <v>0.1082</v>
      </c>
      <c r="HT18" s="14">
        <v>0.1086</v>
      </c>
      <c r="HU18" s="14">
        <v>0.11119999999999999</v>
      </c>
      <c r="HV18" s="14">
        <v>9.7799999999999998E-2</v>
      </c>
      <c r="HW18" s="14">
        <v>0.105</v>
      </c>
      <c r="HX18" s="14">
        <v>0.1057</v>
      </c>
      <c r="HY18" s="13">
        <v>8.4000000000000005E-2</v>
      </c>
      <c r="HZ18" s="16">
        <v>9.3200000000000005E-2</v>
      </c>
      <c r="IA18" s="14">
        <v>0.1057</v>
      </c>
      <c r="IB18" s="14">
        <v>0.1096</v>
      </c>
      <c r="IC18" s="13">
        <v>0.1041</v>
      </c>
      <c r="ID18" s="13">
        <v>0.1133</v>
      </c>
      <c r="IE18" s="16">
        <v>0.1153</v>
      </c>
      <c r="IF18" s="15">
        <v>0.11550000000000001</v>
      </c>
      <c r="IG18" s="15">
        <v>0.1176</v>
      </c>
      <c r="IH18" s="15">
        <v>0.108</v>
      </c>
      <c r="II18" s="16">
        <v>0.1125</v>
      </c>
      <c r="IJ18" s="16">
        <v>0.1108</v>
      </c>
      <c r="IK18" s="16">
        <v>9.6699999999999994E-2</v>
      </c>
      <c r="IL18" s="16">
        <v>9.5799999999999996E-2</v>
      </c>
      <c r="IM18" s="15">
        <v>0.11210000000000001</v>
      </c>
      <c r="IN18" s="14">
        <v>0.1115</v>
      </c>
      <c r="IO18" s="13">
        <v>0.11310000000000001</v>
      </c>
      <c r="IP18" s="16">
        <v>0.10920000000000001</v>
      </c>
      <c r="IQ18" s="16">
        <v>0.10979999999999999</v>
      </c>
      <c r="IR18" s="15">
        <v>0.10929999999999999</v>
      </c>
      <c r="IS18" s="15">
        <v>0.10879999999999999</v>
      </c>
      <c r="IT18" s="15">
        <v>0.10680000000000001</v>
      </c>
      <c r="IU18" s="15">
        <v>0.10780000000000001</v>
      </c>
      <c r="IV18" s="16">
        <v>0.1046</v>
      </c>
      <c r="IW18" s="16">
        <v>8.9800000000000005E-2</v>
      </c>
      <c r="IX18" s="16">
        <v>0.09</v>
      </c>
      <c r="IY18" s="14">
        <v>0.10489999999999999</v>
      </c>
      <c r="IZ18" s="13">
        <v>0.1014</v>
      </c>
      <c r="JA18" s="13">
        <v>9.5200000000000007E-2</v>
      </c>
      <c r="JB18" s="13">
        <v>9.8500000000000004E-2</v>
      </c>
      <c r="JC18" s="15">
        <v>9.6699999999999994E-2</v>
      </c>
      <c r="JD18" s="14">
        <v>9.8400000000000001E-2</v>
      </c>
      <c r="JE18" s="13">
        <v>9.7100000000000006E-2</v>
      </c>
    </row>
    <row r="19" spans="1:265" ht="12.75" customHeight="1">
      <c r="A19" s="60"/>
      <c r="B19" s="60"/>
      <c r="C19" s="60"/>
      <c r="D19" s="29" t="s">
        <v>68</v>
      </c>
      <c r="E19" s="20">
        <v>17</v>
      </c>
      <c r="F19" s="19" t="s">
        <v>67</v>
      </c>
      <c r="G19" s="27">
        <v>0.12570000000000001</v>
      </c>
      <c r="H19" s="27">
        <v>0.15310000000000001</v>
      </c>
      <c r="I19" s="27">
        <v>0.15529999999999999</v>
      </c>
      <c r="J19" s="27">
        <v>0.14929999999999999</v>
      </c>
      <c r="K19" s="27">
        <v>0.15</v>
      </c>
      <c r="L19" s="27">
        <v>0.1759</v>
      </c>
      <c r="M19" s="27">
        <v>0.182</v>
      </c>
      <c r="N19" s="27">
        <v>0.1822</v>
      </c>
      <c r="O19" s="27">
        <v>0.1797</v>
      </c>
      <c r="P19" s="27">
        <v>0.1709</v>
      </c>
      <c r="Q19" s="27">
        <v>0.16439999999999999</v>
      </c>
      <c r="R19" s="27">
        <v>0.1716</v>
      </c>
      <c r="S19" s="27">
        <v>0.17399999999999999</v>
      </c>
      <c r="T19" s="27">
        <v>0.1595</v>
      </c>
      <c r="U19" s="27">
        <v>0.16220000000000001</v>
      </c>
      <c r="V19" s="27">
        <v>0.16650000000000001</v>
      </c>
      <c r="W19" s="27">
        <v>0.1492</v>
      </c>
      <c r="X19" s="27">
        <v>0.156</v>
      </c>
      <c r="Y19" s="27">
        <v>0.1603</v>
      </c>
      <c r="Z19" s="27">
        <v>0.1573</v>
      </c>
      <c r="AA19" s="27">
        <v>0.15959999999999999</v>
      </c>
      <c r="AB19" s="27">
        <v>0.16059999999999999</v>
      </c>
      <c r="AC19" s="27">
        <v>0.17910000000000001</v>
      </c>
      <c r="AD19" s="27">
        <v>0.17050000000000001</v>
      </c>
      <c r="AE19" s="27">
        <v>0.17760000000000001</v>
      </c>
      <c r="AF19" s="27">
        <v>0.16109999999999999</v>
      </c>
      <c r="AG19" s="27">
        <v>0.16719999999999999</v>
      </c>
      <c r="AH19" s="27">
        <v>0.1628</v>
      </c>
      <c r="AI19" s="27">
        <v>0.17180000000000001</v>
      </c>
      <c r="AJ19" s="27">
        <v>0.18179999999999999</v>
      </c>
      <c r="AK19" s="27">
        <v>0.18959999999999999</v>
      </c>
      <c r="AL19" s="27">
        <v>0.19020000000000001</v>
      </c>
      <c r="AM19" s="27">
        <v>0.1759</v>
      </c>
      <c r="AN19" s="27">
        <v>0.17760000000000001</v>
      </c>
      <c r="AO19" s="27">
        <v>0.17860000000000001</v>
      </c>
      <c r="AP19" s="27">
        <v>0.17760000000000001</v>
      </c>
      <c r="AQ19" s="27">
        <v>0.1676</v>
      </c>
      <c r="AR19" s="27">
        <v>0.1641</v>
      </c>
      <c r="AS19" s="27">
        <v>0.17</v>
      </c>
      <c r="AT19" s="27">
        <v>0.17449999999999999</v>
      </c>
      <c r="AU19" s="27">
        <v>0.17380000000000001</v>
      </c>
      <c r="AV19" s="27">
        <v>0.17449999999999999</v>
      </c>
      <c r="AW19" s="27">
        <v>0.17519999999999999</v>
      </c>
      <c r="AX19" s="27">
        <v>0.17949999999999999</v>
      </c>
      <c r="AY19" s="27">
        <v>0.17860000000000001</v>
      </c>
      <c r="AZ19" s="27">
        <v>0.1772</v>
      </c>
      <c r="BA19" s="27">
        <v>0.17330000000000001</v>
      </c>
      <c r="BB19" s="27">
        <v>0.1767</v>
      </c>
      <c r="BC19" s="27">
        <v>0.17130000000000001</v>
      </c>
      <c r="BD19" s="27">
        <v>0.17419999999999999</v>
      </c>
      <c r="BE19" s="27">
        <v>0.16489999999999999</v>
      </c>
      <c r="BF19" s="27">
        <v>0.1704</v>
      </c>
      <c r="BG19" s="27">
        <v>0.17549999999999999</v>
      </c>
      <c r="BH19" s="27">
        <v>0.17449999999999999</v>
      </c>
      <c r="BI19" s="27">
        <v>0.1696</v>
      </c>
      <c r="BJ19" s="27">
        <v>0.17419999999999999</v>
      </c>
      <c r="BK19" s="27">
        <v>0.17560000000000001</v>
      </c>
      <c r="BL19" s="27">
        <v>0.17249999999999999</v>
      </c>
      <c r="BM19" s="27">
        <v>0.1706</v>
      </c>
      <c r="BN19" s="27">
        <v>0.1888</v>
      </c>
      <c r="BO19" s="27">
        <v>0.18110000000000001</v>
      </c>
      <c r="BP19" s="27">
        <v>0.1835</v>
      </c>
      <c r="BQ19" s="27">
        <v>0.18859999999999999</v>
      </c>
      <c r="BR19" s="27">
        <v>0.188</v>
      </c>
      <c r="BS19" s="27">
        <v>0.1905</v>
      </c>
      <c r="BT19" s="27">
        <v>0.19220000000000001</v>
      </c>
      <c r="BU19" s="27">
        <v>0.19350000000000001</v>
      </c>
      <c r="BV19" s="27">
        <v>0.19450000000000001</v>
      </c>
      <c r="BW19" s="27">
        <v>0.1852</v>
      </c>
      <c r="BX19" s="27">
        <v>0.1867</v>
      </c>
      <c r="BY19" s="27">
        <v>0.1729</v>
      </c>
      <c r="BZ19" s="27">
        <v>0.17050000000000001</v>
      </c>
      <c r="CA19" s="27">
        <v>0.17169999999999999</v>
      </c>
      <c r="CB19" s="27">
        <v>0.17269999999999999</v>
      </c>
      <c r="CC19" s="27">
        <v>0.1749</v>
      </c>
      <c r="CD19" s="27">
        <v>0.17449999999999999</v>
      </c>
      <c r="CE19" s="27">
        <v>0.17480000000000001</v>
      </c>
      <c r="CF19" s="27">
        <v>0.17269999999999999</v>
      </c>
      <c r="CG19" s="27">
        <v>0.1699</v>
      </c>
      <c r="CH19" s="27">
        <v>0.16500000000000001</v>
      </c>
      <c r="CI19" s="27">
        <v>0.16109999999999999</v>
      </c>
      <c r="CJ19" s="27">
        <v>0.17349999999999999</v>
      </c>
      <c r="CK19" s="27">
        <v>0.1686</v>
      </c>
      <c r="CL19" s="27">
        <v>0.16930000000000001</v>
      </c>
      <c r="CM19" s="27">
        <v>0.17480000000000001</v>
      </c>
      <c r="CN19" s="27">
        <v>0.17380000000000001</v>
      </c>
      <c r="CO19" s="27">
        <v>0.16550000000000001</v>
      </c>
      <c r="CP19" s="27">
        <v>0.17050000000000001</v>
      </c>
      <c r="CQ19" s="27">
        <v>0.1754</v>
      </c>
      <c r="CR19" s="27">
        <v>0.1734</v>
      </c>
      <c r="CS19" s="27">
        <v>0.17380000000000001</v>
      </c>
      <c r="CT19" s="27">
        <v>0.1716</v>
      </c>
      <c r="CU19" s="27">
        <v>0.1678</v>
      </c>
      <c r="CV19" s="27">
        <v>0.17519999999999999</v>
      </c>
      <c r="CW19" s="27">
        <v>0.1706</v>
      </c>
      <c r="CX19" s="27">
        <v>0.1704</v>
      </c>
      <c r="CY19" s="27">
        <v>0.17100000000000001</v>
      </c>
      <c r="CZ19" s="27">
        <v>0.1714</v>
      </c>
      <c r="DA19" s="27">
        <v>0.16650000000000001</v>
      </c>
      <c r="DB19" s="27">
        <v>0.16769999999999999</v>
      </c>
      <c r="DC19" s="27">
        <v>0.1656</v>
      </c>
      <c r="DD19" s="27">
        <v>0.15290000000000001</v>
      </c>
      <c r="DE19" s="27">
        <v>0.14710000000000001</v>
      </c>
      <c r="DF19" s="27">
        <v>0.14510000000000001</v>
      </c>
      <c r="DG19" s="27">
        <v>0.14599999999999999</v>
      </c>
      <c r="DH19" s="27">
        <v>0.15</v>
      </c>
      <c r="DI19" s="27">
        <v>0.14299999999999999</v>
      </c>
      <c r="DJ19" s="27">
        <v>0.14080000000000001</v>
      </c>
      <c r="DK19" s="27">
        <v>0.1409</v>
      </c>
      <c r="DL19" s="27">
        <v>0.14410000000000001</v>
      </c>
      <c r="DM19" s="27">
        <v>0.1464</v>
      </c>
      <c r="DN19" s="27">
        <v>0.14630000000000001</v>
      </c>
      <c r="DO19" s="27">
        <v>0.1474</v>
      </c>
      <c r="DP19" s="27">
        <v>0.1447</v>
      </c>
      <c r="DQ19" s="27">
        <v>0.14560000000000001</v>
      </c>
      <c r="DR19" s="27">
        <v>0.13639999999999999</v>
      </c>
      <c r="DS19" s="27">
        <v>0.1275</v>
      </c>
      <c r="DT19" s="27">
        <v>0.12039999999999999</v>
      </c>
      <c r="DU19" s="27">
        <v>0.106</v>
      </c>
      <c r="DV19" s="27">
        <v>0.10199999999999999</v>
      </c>
      <c r="DW19" s="27">
        <v>9.8000000000000004E-2</v>
      </c>
      <c r="DX19" s="27">
        <v>9.6299999999999997E-2</v>
      </c>
      <c r="DY19" s="27">
        <v>8.5500000000000007E-2</v>
      </c>
      <c r="DZ19" s="27">
        <v>8.5800000000000001E-2</v>
      </c>
      <c r="EA19" s="27">
        <v>7.9100000000000004E-2</v>
      </c>
      <c r="EB19" s="27">
        <v>8.3500000000000005E-2</v>
      </c>
      <c r="EC19" s="27">
        <v>8.43E-2</v>
      </c>
      <c r="ED19" s="27">
        <v>7.8299999999999995E-2</v>
      </c>
      <c r="EE19" s="27">
        <v>7.3400000000000007E-2</v>
      </c>
      <c r="EF19" s="27">
        <v>7.9399999999999998E-2</v>
      </c>
      <c r="EG19" s="27">
        <v>7.9500000000000001E-2</v>
      </c>
      <c r="EH19" s="27">
        <v>7.9299999999999995E-2</v>
      </c>
      <c r="EI19" s="27">
        <v>7.9600000000000004E-2</v>
      </c>
      <c r="EJ19" s="27">
        <v>7.7100000000000002E-2</v>
      </c>
      <c r="EK19" s="27">
        <v>7.5800000000000006E-2</v>
      </c>
      <c r="EL19" s="27">
        <v>7.6499999999999999E-2</v>
      </c>
      <c r="EM19" s="27">
        <v>7.6100000000000001E-2</v>
      </c>
      <c r="EN19" s="27">
        <v>7.9399999999999998E-2</v>
      </c>
      <c r="EO19" s="27">
        <v>7.5600000000000001E-2</v>
      </c>
      <c r="EP19" s="27">
        <v>7.5399999999999995E-2</v>
      </c>
      <c r="EQ19" s="27">
        <v>7.5600000000000001E-2</v>
      </c>
      <c r="ER19" s="27">
        <v>7.8399999999999997E-2</v>
      </c>
      <c r="ES19" s="27">
        <v>8.0600000000000005E-2</v>
      </c>
      <c r="ET19" s="27">
        <v>8.4400000000000003E-2</v>
      </c>
      <c r="EU19" s="27">
        <v>8.3099999999999993E-2</v>
      </c>
      <c r="EV19" s="27">
        <v>8.3099999999999993E-2</v>
      </c>
      <c r="EW19" s="27">
        <v>8.1900000000000001E-2</v>
      </c>
      <c r="EX19" s="27">
        <v>8.0699999999999994E-2</v>
      </c>
      <c r="EY19" s="27">
        <v>8.3000000000000004E-2</v>
      </c>
      <c r="EZ19" s="27">
        <v>8.2900000000000001E-2</v>
      </c>
      <c r="FA19" s="27">
        <v>8.2799999999999999E-2</v>
      </c>
      <c r="FB19" s="27">
        <v>8.2299999999999998E-2</v>
      </c>
      <c r="FC19" s="27">
        <v>8.1799999999999998E-2</v>
      </c>
      <c r="FD19" s="27">
        <v>8.4199999999999997E-2</v>
      </c>
      <c r="FE19" s="27">
        <v>8.4400000000000003E-2</v>
      </c>
      <c r="FF19" s="27">
        <v>8.6499999999999994E-2</v>
      </c>
      <c r="FG19" s="27">
        <v>8.6300000000000002E-2</v>
      </c>
      <c r="FH19" s="27">
        <v>8.6499999999999994E-2</v>
      </c>
      <c r="FI19" s="27">
        <v>8.7099999999999997E-2</v>
      </c>
      <c r="FJ19" s="27">
        <v>8.6599999999999996E-2</v>
      </c>
      <c r="FK19" s="27">
        <v>8.72E-2</v>
      </c>
      <c r="FL19" s="27">
        <v>8.6599999999999996E-2</v>
      </c>
      <c r="FM19" s="27">
        <v>8.6199999999999999E-2</v>
      </c>
      <c r="FN19" s="27">
        <v>8.72E-2</v>
      </c>
      <c r="FO19" s="27">
        <v>8.7800000000000003E-2</v>
      </c>
      <c r="FP19" s="27">
        <v>8.7300000000000003E-2</v>
      </c>
      <c r="FQ19" s="27">
        <v>8.77E-2</v>
      </c>
      <c r="FR19" s="27">
        <v>8.9300000000000004E-2</v>
      </c>
      <c r="FS19" s="27">
        <v>8.7499999999999994E-2</v>
      </c>
      <c r="FT19" s="27">
        <v>8.7300000000000003E-2</v>
      </c>
      <c r="FU19" s="27">
        <v>8.5800000000000001E-2</v>
      </c>
      <c r="FV19" s="27">
        <v>8.6199999999999999E-2</v>
      </c>
      <c r="FW19" s="27">
        <v>8.5699999999999998E-2</v>
      </c>
      <c r="FX19" s="27">
        <v>8.6400000000000005E-2</v>
      </c>
      <c r="FY19" s="27">
        <v>8.6999999999999994E-2</v>
      </c>
      <c r="FZ19" s="26">
        <v>8.6400000000000005E-2</v>
      </c>
      <c r="GA19" s="22">
        <v>8.6400000000000005E-2</v>
      </c>
      <c r="GB19" s="22">
        <v>8.72E-2</v>
      </c>
      <c r="GC19" s="22">
        <v>9.0200000000000002E-2</v>
      </c>
      <c r="GD19" s="22">
        <v>9.3399999999999997E-2</v>
      </c>
      <c r="GE19" s="22">
        <v>9.1399999999999995E-2</v>
      </c>
      <c r="GF19" s="22">
        <v>9.1600000000000001E-2</v>
      </c>
      <c r="GG19" s="27">
        <v>8.6400000000000005E-2</v>
      </c>
      <c r="GH19" s="26">
        <v>7.6399999999999996E-2</v>
      </c>
      <c r="GI19" s="26">
        <v>7.1800000000000003E-2</v>
      </c>
      <c r="GJ19" s="22">
        <v>6.7900000000000002E-2</v>
      </c>
      <c r="GK19" s="22">
        <v>6.9599999999999995E-2</v>
      </c>
      <c r="GL19" s="27">
        <v>6.9699999999999998E-2</v>
      </c>
      <c r="GM19" s="27">
        <v>6.9800000000000001E-2</v>
      </c>
      <c r="GN19" s="26">
        <v>6.9400000000000003E-2</v>
      </c>
      <c r="GO19" s="22">
        <v>6.8699999999999997E-2</v>
      </c>
      <c r="GP19" s="22">
        <v>6.9400000000000003E-2</v>
      </c>
      <c r="GQ19" s="22">
        <v>6.9199999999999998E-2</v>
      </c>
      <c r="GR19" s="25">
        <v>6.9099999999999995E-2</v>
      </c>
      <c r="GS19" s="24">
        <v>6.8599999999999994E-2</v>
      </c>
      <c r="GT19" s="23">
        <v>6.7400000000000002E-2</v>
      </c>
      <c r="GU19" s="22">
        <v>6.9099999999999995E-2</v>
      </c>
      <c r="GV19" s="25">
        <v>6.9599999999999995E-2</v>
      </c>
      <c r="GW19" s="24">
        <v>6.9500000000000006E-2</v>
      </c>
      <c r="GX19" s="23">
        <v>6.93E-2</v>
      </c>
      <c r="GY19" s="22">
        <v>6.9400000000000003E-2</v>
      </c>
      <c r="GZ19" s="22">
        <v>7.0000000000000007E-2</v>
      </c>
      <c r="HA19" s="25">
        <v>7.7600000000000002E-2</v>
      </c>
      <c r="HB19" s="25">
        <v>8.6300000000000002E-2</v>
      </c>
      <c r="HC19" s="25">
        <v>9.0300000000000005E-2</v>
      </c>
      <c r="HD19" s="25">
        <v>9.2799999999999994E-2</v>
      </c>
      <c r="HE19" s="25">
        <v>9.6299999999999997E-2</v>
      </c>
      <c r="HF19" s="25">
        <v>0.1032</v>
      </c>
      <c r="HG19" s="25">
        <v>0.11219999999999999</v>
      </c>
      <c r="HH19" s="25">
        <v>0.1203</v>
      </c>
      <c r="HI19" s="25">
        <v>0.1245</v>
      </c>
      <c r="HJ19" s="25">
        <v>0.13009999999999999</v>
      </c>
      <c r="HK19" s="25">
        <v>0.1295</v>
      </c>
      <c r="HL19" s="23">
        <v>0.13370000000000001</v>
      </c>
      <c r="HM19" s="23">
        <v>0.13569999999999999</v>
      </c>
      <c r="HN19" s="23">
        <v>0.1363</v>
      </c>
      <c r="HO19" s="23">
        <v>0.12989999999999999</v>
      </c>
      <c r="HP19" s="23">
        <v>0.12970000000000001</v>
      </c>
      <c r="HQ19" s="23">
        <v>0.13100000000000001</v>
      </c>
      <c r="HR19" s="23">
        <v>0.13200000000000001</v>
      </c>
      <c r="HS19" s="23">
        <v>0.1336</v>
      </c>
      <c r="HT19" s="23">
        <v>0.13469999999999999</v>
      </c>
      <c r="HU19" s="23">
        <v>0.13439999999999999</v>
      </c>
      <c r="HV19" s="23">
        <v>0.1346</v>
      </c>
      <c r="HW19" s="23">
        <v>0.1323</v>
      </c>
      <c r="HX19" s="23">
        <v>0.13059999999999999</v>
      </c>
      <c r="HY19" s="22">
        <v>0.1313</v>
      </c>
      <c r="HZ19" s="25">
        <v>0.13289999999999999</v>
      </c>
      <c r="IA19" s="23">
        <v>0.13439999999999999</v>
      </c>
      <c r="IB19" s="23">
        <v>0.1343</v>
      </c>
      <c r="IC19" s="22">
        <v>0.13450000000000001</v>
      </c>
      <c r="ID19" s="22">
        <v>0.1381</v>
      </c>
      <c r="IE19" s="25">
        <v>0.14099999999999999</v>
      </c>
      <c r="IF19" s="24">
        <v>0.14069999999999999</v>
      </c>
      <c r="IG19" s="24">
        <v>0.1419</v>
      </c>
      <c r="IH19" s="24">
        <v>0.14199999999999999</v>
      </c>
      <c r="II19" s="25">
        <v>0.14030000000000001</v>
      </c>
      <c r="IJ19" s="25">
        <v>0.13719999999999999</v>
      </c>
      <c r="IK19" s="25">
        <v>0.13769999999999999</v>
      </c>
      <c r="IL19" s="25">
        <v>0.1391</v>
      </c>
      <c r="IM19" s="24">
        <v>0.1358</v>
      </c>
      <c r="IN19" s="23">
        <v>0.13450000000000001</v>
      </c>
      <c r="IO19" s="22">
        <v>0.13519999999999999</v>
      </c>
      <c r="IP19" s="25">
        <v>0.13519999999999999</v>
      </c>
      <c r="IQ19" s="25">
        <v>0.1328</v>
      </c>
      <c r="IR19" s="24">
        <v>0.13159999999999999</v>
      </c>
      <c r="IS19" s="24">
        <v>0.1308</v>
      </c>
      <c r="IT19" s="24">
        <v>0.13009999999999999</v>
      </c>
      <c r="IU19" s="24">
        <v>0.128</v>
      </c>
      <c r="IV19" s="25">
        <v>0.1263</v>
      </c>
      <c r="IW19" s="25">
        <v>0.1249</v>
      </c>
      <c r="IX19" s="25">
        <v>0.124</v>
      </c>
      <c r="IY19" s="23">
        <v>0.1232</v>
      </c>
      <c r="IZ19" s="22">
        <v>0.1195</v>
      </c>
      <c r="JA19" s="22">
        <v>0.1157</v>
      </c>
      <c r="JB19" s="22">
        <v>0.1145</v>
      </c>
      <c r="JC19" s="24">
        <v>0.1124</v>
      </c>
      <c r="JD19" s="23">
        <v>0.1145</v>
      </c>
      <c r="JE19" s="22">
        <v>0.1111</v>
      </c>
    </row>
    <row r="20" spans="1:265" ht="12.75" customHeight="1">
      <c r="A20" s="60"/>
      <c r="B20" s="60"/>
      <c r="C20" s="60"/>
      <c r="D20" s="21" t="s">
        <v>19</v>
      </c>
      <c r="E20" s="20">
        <v>18</v>
      </c>
      <c r="F20" s="19" t="s">
        <v>66</v>
      </c>
      <c r="G20" s="18">
        <v>0.13270000000000001</v>
      </c>
      <c r="H20" s="18">
        <v>0.12529999999999999</v>
      </c>
      <c r="I20" s="18">
        <v>0.12889999999999999</v>
      </c>
      <c r="J20" s="18">
        <v>0.12479999999999999</v>
      </c>
      <c r="K20" s="18">
        <v>0.13009999999999999</v>
      </c>
      <c r="L20" s="18">
        <v>0.12759999999999999</v>
      </c>
      <c r="M20" s="18">
        <v>0.1232</v>
      </c>
      <c r="N20" s="18">
        <v>0.1231</v>
      </c>
      <c r="O20" s="18">
        <v>0.12429999999999999</v>
      </c>
      <c r="P20" s="18">
        <v>0.1246</v>
      </c>
      <c r="Q20" s="18">
        <v>0.1236</v>
      </c>
      <c r="R20" s="18">
        <v>0.1154</v>
      </c>
      <c r="S20" s="18">
        <v>0.1211</v>
      </c>
      <c r="T20" s="18">
        <v>0.1236</v>
      </c>
      <c r="U20" s="18">
        <v>0.1283</v>
      </c>
      <c r="V20" s="18">
        <v>0.13089999999999999</v>
      </c>
      <c r="W20" s="18">
        <v>0.13159999999999999</v>
      </c>
      <c r="X20" s="18">
        <v>0.12970000000000001</v>
      </c>
      <c r="Y20" s="18">
        <v>0.1242</v>
      </c>
      <c r="Z20" s="18">
        <v>0.12330000000000001</v>
      </c>
      <c r="AA20" s="18">
        <v>0.12540000000000001</v>
      </c>
      <c r="AB20" s="18">
        <v>0.12939999999999999</v>
      </c>
      <c r="AC20" s="18">
        <v>0.12870000000000001</v>
      </c>
      <c r="AD20" s="18">
        <v>0.12529999999999999</v>
      </c>
      <c r="AE20" s="18">
        <v>0.13739999999999999</v>
      </c>
      <c r="AF20" s="18">
        <v>0.13469999999999999</v>
      </c>
      <c r="AG20" s="18">
        <v>0.1308</v>
      </c>
      <c r="AH20" s="18">
        <v>0.13039999999999999</v>
      </c>
      <c r="AI20" s="18">
        <v>0.13439999999999999</v>
      </c>
      <c r="AJ20" s="18">
        <v>0.13339999999999999</v>
      </c>
      <c r="AK20" s="18">
        <v>0.13719999999999999</v>
      </c>
      <c r="AL20" s="18">
        <v>0.13539999999999999</v>
      </c>
      <c r="AM20" s="18">
        <v>0.1326</v>
      </c>
      <c r="AN20" s="18">
        <v>0.13539999999999999</v>
      </c>
      <c r="AO20" s="18">
        <v>0.1351</v>
      </c>
      <c r="AP20" s="18">
        <v>0.12970000000000001</v>
      </c>
      <c r="AQ20" s="18">
        <v>0.13789999999999999</v>
      </c>
      <c r="AR20" s="18">
        <v>0.1401</v>
      </c>
      <c r="AS20" s="18">
        <v>0.14169999999999999</v>
      </c>
      <c r="AT20" s="18">
        <v>0.14729999999999999</v>
      </c>
      <c r="AU20" s="18">
        <v>0.15160000000000001</v>
      </c>
      <c r="AV20" s="18">
        <v>0.15010000000000001</v>
      </c>
      <c r="AW20" s="18">
        <v>0.15310000000000001</v>
      </c>
      <c r="AX20" s="18">
        <v>0.1525</v>
      </c>
      <c r="AY20" s="18">
        <v>0.15210000000000001</v>
      </c>
      <c r="AZ20" s="18">
        <v>0.15459999999999999</v>
      </c>
      <c r="BA20" s="18">
        <v>0.15429999999999999</v>
      </c>
      <c r="BB20" s="18">
        <v>0.14829999999999999</v>
      </c>
      <c r="BC20" s="18">
        <v>0.1547</v>
      </c>
      <c r="BD20" s="18">
        <v>0.15359999999999999</v>
      </c>
      <c r="BE20" s="18">
        <v>0.15629999999999999</v>
      </c>
      <c r="BF20" s="18">
        <v>0.15989999999999999</v>
      </c>
      <c r="BG20" s="18">
        <v>0.1583</v>
      </c>
      <c r="BH20" s="18">
        <v>0.158</v>
      </c>
      <c r="BI20" s="18">
        <v>0.16020000000000001</v>
      </c>
      <c r="BJ20" s="18">
        <v>0.15970000000000001</v>
      </c>
      <c r="BK20" s="18">
        <v>0.1588</v>
      </c>
      <c r="BL20" s="18">
        <v>0.15459999999999999</v>
      </c>
      <c r="BM20" s="18">
        <v>0.15409999999999999</v>
      </c>
      <c r="BN20" s="18">
        <v>0.15140000000000001</v>
      </c>
      <c r="BO20" s="18">
        <v>0.15559999999999999</v>
      </c>
      <c r="BP20" s="18">
        <v>0.15559999999999999</v>
      </c>
      <c r="BQ20" s="18">
        <v>0.15629999999999999</v>
      </c>
      <c r="BR20" s="18">
        <v>0.15840000000000001</v>
      </c>
      <c r="BS20" s="18">
        <v>0.16020000000000001</v>
      </c>
      <c r="BT20" s="18">
        <v>0.16020000000000001</v>
      </c>
      <c r="BU20" s="18">
        <v>0.15620000000000001</v>
      </c>
      <c r="BV20" s="18">
        <v>0.15479999999999999</v>
      </c>
      <c r="BW20" s="18">
        <v>0.15179999999999999</v>
      </c>
      <c r="BX20" s="18">
        <v>0.1492</v>
      </c>
      <c r="BY20" s="18">
        <v>0.14929999999999999</v>
      </c>
      <c r="BZ20" s="18">
        <v>0.14860000000000001</v>
      </c>
      <c r="CA20" s="18">
        <v>0.15090000000000001</v>
      </c>
      <c r="CB20" s="18">
        <v>0.15579999999999999</v>
      </c>
      <c r="CC20" s="18">
        <v>0.15540000000000001</v>
      </c>
      <c r="CD20" s="18">
        <v>0.1535</v>
      </c>
      <c r="CE20" s="18">
        <v>0.1555</v>
      </c>
      <c r="CF20" s="18">
        <v>0.1593</v>
      </c>
      <c r="CG20" s="18">
        <v>0.157</v>
      </c>
      <c r="CH20" s="18">
        <v>0.1555</v>
      </c>
      <c r="CI20" s="18">
        <v>0.151</v>
      </c>
      <c r="CJ20" s="18">
        <v>0.15590000000000001</v>
      </c>
      <c r="CK20" s="18">
        <v>0.15160000000000001</v>
      </c>
      <c r="CL20" s="18">
        <v>0.152</v>
      </c>
      <c r="CM20" s="18">
        <v>0.1608</v>
      </c>
      <c r="CN20" s="18">
        <v>0.15859999999999999</v>
      </c>
      <c r="CO20" s="18">
        <v>0.15690000000000001</v>
      </c>
      <c r="CP20" s="18">
        <v>0.16070000000000001</v>
      </c>
      <c r="CQ20" s="18">
        <v>0.16139999999999999</v>
      </c>
      <c r="CR20" s="18">
        <v>0.1462</v>
      </c>
      <c r="CS20" s="18">
        <v>0.161</v>
      </c>
      <c r="CT20" s="18">
        <v>0.16450000000000001</v>
      </c>
      <c r="CU20" s="18">
        <v>0.16239999999999999</v>
      </c>
      <c r="CV20" s="18">
        <v>0.16719999999999999</v>
      </c>
      <c r="CW20" s="18">
        <v>0.16619999999999999</v>
      </c>
      <c r="CX20" s="18">
        <v>0.16009999999999999</v>
      </c>
      <c r="CY20" s="18">
        <v>0.16189999999999999</v>
      </c>
      <c r="CZ20" s="18">
        <v>0.1575</v>
      </c>
      <c r="DA20" s="18">
        <v>0.16139999999999999</v>
      </c>
      <c r="DB20" s="18">
        <v>0.1542</v>
      </c>
      <c r="DC20" s="18">
        <v>0.15740000000000001</v>
      </c>
      <c r="DD20" s="18">
        <v>0.14710000000000001</v>
      </c>
      <c r="DE20" s="18">
        <v>0.1459</v>
      </c>
      <c r="DF20" s="18">
        <v>0.1421</v>
      </c>
      <c r="DG20" s="18">
        <v>0.1389</v>
      </c>
      <c r="DH20" s="18">
        <v>0.13880000000000001</v>
      </c>
      <c r="DI20" s="18">
        <v>0.13420000000000001</v>
      </c>
      <c r="DJ20" s="18">
        <v>0.1305</v>
      </c>
      <c r="DK20" s="18">
        <v>0.13239999999999999</v>
      </c>
      <c r="DL20" s="18">
        <v>0.13500000000000001</v>
      </c>
      <c r="DM20" s="18">
        <v>0.13519999999999999</v>
      </c>
      <c r="DN20" s="18">
        <v>0.1358</v>
      </c>
      <c r="DO20" s="18">
        <v>0.13519999999999999</v>
      </c>
      <c r="DP20" s="18">
        <v>0.13600000000000001</v>
      </c>
      <c r="DQ20" s="18">
        <v>0.13370000000000001</v>
      </c>
      <c r="DR20" s="18">
        <v>0.12970000000000001</v>
      </c>
      <c r="DS20" s="18">
        <v>0.125</v>
      </c>
      <c r="DT20" s="18">
        <v>0.10970000000000001</v>
      </c>
      <c r="DU20" s="18">
        <v>0.1014</v>
      </c>
      <c r="DV20" s="18">
        <v>9.4500000000000001E-2</v>
      </c>
      <c r="DW20" s="18">
        <v>9.7199999999999995E-2</v>
      </c>
      <c r="DX20" s="18">
        <v>9.7199999999999995E-2</v>
      </c>
      <c r="DY20" s="18">
        <v>8.6099999999999996E-2</v>
      </c>
      <c r="DZ20" s="18">
        <v>8.5999999999999993E-2</v>
      </c>
      <c r="EA20" s="18">
        <v>8.4199999999999997E-2</v>
      </c>
      <c r="EB20" s="18">
        <v>8.48E-2</v>
      </c>
      <c r="EC20" s="18">
        <v>8.5699999999999998E-2</v>
      </c>
      <c r="ED20" s="18">
        <v>8.3199999999999996E-2</v>
      </c>
      <c r="EE20" s="18">
        <v>8.1199999999999994E-2</v>
      </c>
      <c r="EF20" s="18">
        <v>8.2500000000000004E-2</v>
      </c>
      <c r="EG20" s="18">
        <v>8.1500000000000003E-2</v>
      </c>
      <c r="EH20" s="18">
        <v>8.0399999999999999E-2</v>
      </c>
      <c r="EI20" s="18">
        <v>8.2000000000000003E-2</v>
      </c>
      <c r="EJ20" s="18">
        <v>8.1500000000000003E-2</v>
      </c>
      <c r="EK20" s="18">
        <v>8.1199999999999994E-2</v>
      </c>
      <c r="EL20" s="18">
        <v>8.1900000000000001E-2</v>
      </c>
      <c r="EM20" s="18">
        <v>8.0199999999999994E-2</v>
      </c>
      <c r="EN20" s="18">
        <v>8.0699999999999994E-2</v>
      </c>
      <c r="EO20" s="18">
        <v>7.7899999999999997E-2</v>
      </c>
      <c r="EP20" s="18">
        <v>7.7899999999999997E-2</v>
      </c>
      <c r="EQ20" s="18">
        <v>7.7799999999999994E-2</v>
      </c>
      <c r="ER20" s="18">
        <v>7.7899999999999997E-2</v>
      </c>
      <c r="ES20" s="18">
        <v>7.7299999999999994E-2</v>
      </c>
      <c r="ET20" s="18">
        <v>7.51E-2</v>
      </c>
      <c r="EU20" s="18">
        <v>7.7700000000000005E-2</v>
      </c>
      <c r="EV20" s="18">
        <v>7.8E-2</v>
      </c>
      <c r="EW20" s="18">
        <v>7.7299999999999994E-2</v>
      </c>
      <c r="EX20" s="18">
        <v>7.6799999999999993E-2</v>
      </c>
      <c r="EY20" s="18">
        <v>7.8799999999999995E-2</v>
      </c>
      <c r="EZ20" s="18">
        <v>7.8399999999999997E-2</v>
      </c>
      <c r="FA20" s="18">
        <v>7.8200000000000006E-2</v>
      </c>
      <c r="FB20" s="18">
        <v>7.85E-2</v>
      </c>
      <c r="FC20" s="18">
        <v>7.6700000000000004E-2</v>
      </c>
      <c r="FD20" s="18">
        <v>7.7499999999999999E-2</v>
      </c>
      <c r="FE20" s="18">
        <v>7.6300000000000007E-2</v>
      </c>
      <c r="FF20" s="18">
        <v>7.22E-2</v>
      </c>
      <c r="FG20" s="18">
        <v>7.7799999999999994E-2</v>
      </c>
      <c r="FH20" s="18">
        <v>7.8100000000000003E-2</v>
      </c>
      <c r="FI20" s="18">
        <v>7.8399999999999997E-2</v>
      </c>
      <c r="FJ20" s="18">
        <v>8.0199999999999994E-2</v>
      </c>
      <c r="FK20" s="18">
        <v>8.0399999999999999E-2</v>
      </c>
      <c r="FL20" s="18">
        <v>8.0399999999999999E-2</v>
      </c>
      <c r="FM20" s="18">
        <v>8.0100000000000005E-2</v>
      </c>
      <c r="FN20" s="18">
        <v>7.9500000000000001E-2</v>
      </c>
      <c r="FO20" s="18">
        <v>8.0399999999999999E-2</v>
      </c>
      <c r="FP20" s="18">
        <v>7.9699999999999993E-2</v>
      </c>
      <c r="FQ20" s="18">
        <v>7.7200000000000005E-2</v>
      </c>
      <c r="FR20" s="18">
        <v>7.7799999999999994E-2</v>
      </c>
      <c r="FS20" s="18">
        <v>8.1000000000000003E-2</v>
      </c>
      <c r="FT20" s="18">
        <v>8.1600000000000006E-2</v>
      </c>
      <c r="FU20" s="18">
        <v>8.1699999999999995E-2</v>
      </c>
      <c r="FV20" s="18">
        <v>8.0699999999999994E-2</v>
      </c>
      <c r="FW20" s="18">
        <v>8.1199999999999994E-2</v>
      </c>
      <c r="FX20" s="18">
        <v>8.1600000000000006E-2</v>
      </c>
      <c r="FY20" s="18">
        <v>8.1500000000000003E-2</v>
      </c>
      <c r="FZ20" s="17">
        <v>8.0199999999999994E-2</v>
      </c>
      <c r="GA20" s="13">
        <v>7.9799999999999996E-2</v>
      </c>
      <c r="GB20" s="13">
        <v>8.0199999999999994E-2</v>
      </c>
      <c r="GC20" s="13">
        <v>7.9399999999999998E-2</v>
      </c>
      <c r="GD20" s="13">
        <v>7.7499999999999999E-2</v>
      </c>
      <c r="GE20" s="13">
        <v>8.3500000000000005E-2</v>
      </c>
      <c r="GF20" s="13">
        <v>8.4199999999999997E-2</v>
      </c>
      <c r="GG20" s="18">
        <v>7.9899999999999999E-2</v>
      </c>
      <c r="GH20" s="17">
        <v>6.9000000000000006E-2</v>
      </c>
      <c r="GI20" s="17">
        <v>6.5100000000000005E-2</v>
      </c>
      <c r="GJ20" s="13">
        <v>6.3200000000000006E-2</v>
      </c>
      <c r="GK20" s="13">
        <v>6.5000000000000002E-2</v>
      </c>
      <c r="GL20" s="18">
        <v>6.2399999999999997E-2</v>
      </c>
      <c r="GM20" s="18">
        <v>6.4899999999999999E-2</v>
      </c>
      <c r="GN20" s="17">
        <v>6.4500000000000002E-2</v>
      </c>
      <c r="GO20" s="13">
        <v>6.13E-2</v>
      </c>
      <c r="GP20" s="13">
        <v>6.2600000000000003E-2</v>
      </c>
      <c r="GQ20" s="13">
        <v>6.5600000000000006E-2</v>
      </c>
      <c r="GR20" s="16">
        <v>6.59E-2</v>
      </c>
      <c r="GS20" s="15">
        <v>6.3700000000000007E-2</v>
      </c>
      <c r="GT20" s="14">
        <v>6.6199999999999995E-2</v>
      </c>
      <c r="GU20" s="13">
        <v>6.6000000000000003E-2</v>
      </c>
      <c r="GV20" s="16">
        <v>6.6400000000000001E-2</v>
      </c>
      <c r="GW20" s="15">
        <v>6.6600000000000006E-2</v>
      </c>
      <c r="GX20" s="14">
        <v>6.3899999999999998E-2</v>
      </c>
      <c r="GY20" s="13">
        <v>6.5100000000000005E-2</v>
      </c>
      <c r="GZ20" s="13">
        <v>6.8500000000000005E-2</v>
      </c>
      <c r="HA20" s="16">
        <v>6.8900000000000003E-2</v>
      </c>
      <c r="HB20" s="16">
        <v>7.5399999999999995E-2</v>
      </c>
      <c r="HC20" s="16">
        <v>8.72E-2</v>
      </c>
      <c r="HD20" s="16">
        <v>8.9899999999999994E-2</v>
      </c>
      <c r="HE20" s="16">
        <v>9.2399999999999996E-2</v>
      </c>
      <c r="HF20" s="16">
        <v>9.7000000000000003E-2</v>
      </c>
      <c r="HG20" s="16">
        <v>0.10249999999999999</v>
      </c>
      <c r="HH20" s="16">
        <v>0.1091</v>
      </c>
      <c r="HI20" s="16">
        <v>0.11310000000000001</v>
      </c>
      <c r="HJ20" s="16">
        <v>0.1118</v>
      </c>
      <c r="HK20" s="16">
        <v>0.1172</v>
      </c>
      <c r="HL20" s="14">
        <v>0.1183</v>
      </c>
      <c r="HM20" s="14">
        <v>0.1113</v>
      </c>
      <c r="HN20" s="14">
        <v>0.1159</v>
      </c>
      <c r="HO20" s="14">
        <v>0.1208</v>
      </c>
      <c r="HP20" s="14">
        <v>0.1196</v>
      </c>
      <c r="HQ20" s="14">
        <v>0.11890000000000001</v>
      </c>
      <c r="HR20" s="14">
        <v>0.1211</v>
      </c>
      <c r="HS20" s="14">
        <v>0.1226</v>
      </c>
      <c r="HT20" s="14">
        <v>0.123</v>
      </c>
      <c r="HU20" s="14">
        <v>0.1225</v>
      </c>
      <c r="HV20" s="14">
        <v>0.1183</v>
      </c>
      <c r="HW20" s="14">
        <v>0.1202</v>
      </c>
      <c r="HX20" s="14">
        <v>0.1201</v>
      </c>
      <c r="HY20" s="13">
        <v>0.11169999999999999</v>
      </c>
      <c r="HZ20" s="16">
        <v>0.1149</v>
      </c>
      <c r="IA20" s="14">
        <v>0.1187</v>
      </c>
      <c r="IB20" s="14">
        <v>0.11890000000000001</v>
      </c>
      <c r="IC20" s="13">
        <v>0.1169</v>
      </c>
      <c r="ID20" s="13">
        <v>0.1206</v>
      </c>
      <c r="IE20" s="16">
        <v>0.1227</v>
      </c>
      <c r="IF20" s="15">
        <v>0.1225</v>
      </c>
      <c r="IG20" s="15">
        <v>0.13220000000000001</v>
      </c>
      <c r="IH20" s="15">
        <v>0.12659999999999999</v>
      </c>
      <c r="II20" s="16">
        <v>0.12620000000000001</v>
      </c>
      <c r="IJ20" s="16">
        <v>0.1245</v>
      </c>
      <c r="IK20" s="16">
        <v>0.1179</v>
      </c>
      <c r="IL20" s="16">
        <v>0.1162</v>
      </c>
      <c r="IM20" s="15">
        <v>0.1234</v>
      </c>
      <c r="IN20" s="14">
        <v>0.1226</v>
      </c>
      <c r="IO20" s="13">
        <v>0.1222</v>
      </c>
      <c r="IP20" s="16">
        <v>0.1211</v>
      </c>
      <c r="IQ20" s="16">
        <v>0.1208</v>
      </c>
      <c r="IR20" s="15">
        <v>0.1203</v>
      </c>
      <c r="IS20" s="15">
        <v>0.1172</v>
      </c>
      <c r="IT20" s="15">
        <v>0.1154</v>
      </c>
      <c r="IU20" s="15">
        <v>0.1154</v>
      </c>
      <c r="IV20" s="16">
        <v>0.11360000000000001</v>
      </c>
      <c r="IW20" s="16">
        <v>0.10539999999999999</v>
      </c>
      <c r="IX20" s="16">
        <v>0.1037</v>
      </c>
      <c r="IY20" s="14">
        <v>0.10979999999999999</v>
      </c>
      <c r="IZ20" s="13">
        <v>0.1081</v>
      </c>
      <c r="JA20" s="13">
        <v>0.1045</v>
      </c>
      <c r="JB20" s="13">
        <v>0.10489999999999999</v>
      </c>
      <c r="JC20" s="15">
        <v>0.1043</v>
      </c>
      <c r="JD20" s="14">
        <v>0.1042</v>
      </c>
      <c r="JE20" s="13">
        <v>0.1028</v>
      </c>
    </row>
    <row r="21" spans="1:265" ht="12.75" customHeight="1">
      <c r="A21" s="60"/>
      <c r="B21" s="60"/>
      <c r="C21" s="60"/>
      <c r="D21" s="28" t="s">
        <v>59</v>
      </c>
      <c r="E21" s="20">
        <v>19</v>
      </c>
      <c r="F21" s="19" t="s">
        <v>65</v>
      </c>
      <c r="G21" s="27">
        <v>0.24149999999999999</v>
      </c>
      <c r="H21" s="27">
        <v>0.2301</v>
      </c>
      <c r="I21" s="27">
        <v>0.23100000000000001</v>
      </c>
      <c r="J21" s="27">
        <v>0.2266</v>
      </c>
      <c r="K21" s="27">
        <v>0.23180000000000001</v>
      </c>
      <c r="L21" s="27">
        <v>0.22539999999999999</v>
      </c>
      <c r="M21" s="27">
        <v>0.222</v>
      </c>
      <c r="N21" s="27">
        <v>0.2293</v>
      </c>
      <c r="O21" s="27">
        <v>0.22720000000000001</v>
      </c>
      <c r="P21" s="27">
        <v>0.2296</v>
      </c>
      <c r="Q21" s="27">
        <v>0.22309999999999999</v>
      </c>
      <c r="R21" s="27">
        <v>0.20749999999999999</v>
      </c>
      <c r="S21" s="27">
        <v>0.1988</v>
      </c>
      <c r="T21" s="27">
        <v>0.20080000000000001</v>
      </c>
      <c r="U21" s="27">
        <v>0.1893</v>
      </c>
      <c r="V21" s="27">
        <v>0.18840000000000001</v>
      </c>
      <c r="W21" s="27">
        <v>0.18859999999999999</v>
      </c>
      <c r="X21" s="27">
        <v>0.18679999999999999</v>
      </c>
      <c r="Y21" s="27">
        <v>0.19</v>
      </c>
      <c r="Z21" s="27">
        <v>0.19139999999999999</v>
      </c>
      <c r="AA21" s="27">
        <v>0.19089999999999999</v>
      </c>
      <c r="AB21" s="27">
        <v>0.1915</v>
      </c>
      <c r="AC21" s="27">
        <v>0.19889999999999999</v>
      </c>
      <c r="AD21" s="27">
        <v>0.1991</v>
      </c>
      <c r="AE21" s="27">
        <v>0.21690000000000001</v>
      </c>
      <c r="AF21" s="27">
        <v>0.21540000000000001</v>
      </c>
      <c r="AG21" s="27">
        <v>0.2152</v>
      </c>
      <c r="AH21" s="27">
        <v>0.2089</v>
      </c>
      <c r="AI21" s="27">
        <v>0.21440000000000001</v>
      </c>
      <c r="AJ21" s="27">
        <v>0.2102</v>
      </c>
      <c r="AK21" s="27">
        <v>0.2145</v>
      </c>
      <c r="AL21" s="27">
        <v>0.21690000000000001</v>
      </c>
      <c r="AM21" s="27">
        <v>0.2117</v>
      </c>
      <c r="AN21" s="27">
        <v>0.21809999999999999</v>
      </c>
      <c r="AO21" s="27">
        <v>0.21579999999999999</v>
      </c>
      <c r="AP21" s="27">
        <v>0.20230000000000001</v>
      </c>
      <c r="AQ21" s="27">
        <v>0.21</v>
      </c>
      <c r="AR21" s="27">
        <v>0.21410000000000001</v>
      </c>
      <c r="AS21" s="27">
        <v>0.217</v>
      </c>
      <c r="AT21" s="27">
        <v>0.21970000000000001</v>
      </c>
      <c r="AU21" s="27">
        <v>0.22339999999999999</v>
      </c>
      <c r="AV21" s="27">
        <v>0.22059999999999999</v>
      </c>
      <c r="AW21" s="27">
        <v>0.22570000000000001</v>
      </c>
      <c r="AX21" s="27">
        <v>0.22919999999999999</v>
      </c>
      <c r="AY21" s="27">
        <v>0.23069999999999999</v>
      </c>
      <c r="AZ21" s="27">
        <v>0.23419999999999999</v>
      </c>
      <c r="BA21" s="27">
        <v>0.23200000000000001</v>
      </c>
      <c r="BB21" s="27">
        <v>0.22550000000000001</v>
      </c>
      <c r="BC21" s="27">
        <v>0.23150000000000001</v>
      </c>
      <c r="BD21" s="27">
        <v>0.23019999999999999</v>
      </c>
      <c r="BE21" s="27">
        <v>0.22570000000000001</v>
      </c>
      <c r="BF21" s="27">
        <v>0.23050000000000001</v>
      </c>
      <c r="BG21" s="27">
        <v>0.2288</v>
      </c>
      <c r="BH21" s="27">
        <v>0.22689999999999999</v>
      </c>
      <c r="BI21" s="27">
        <v>0.2298</v>
      </c>
      <c r="BJ21" s="27">
        <v>0.2276</v>
      </c>
      <c r="BK21" s="27">
        <v>0.22700000000000001</v>
      </c>
      <c r="BL21" s="27">
        <v>0.2208</v>
      </c>
      <c r="BM21" s="27">
        <v>0.22070000000000001</v>
      </c>
      <c r="BN21" s="27">
        <v>0.2177</v>
      </c>
      <c r="BO21" s="27">
        <v>0.22270000000000001</v>
      </c>
      <c r="BP21" s="27">
        <v>0.2175</v>
      </c>
      <c r="BQ21" s="27">
        <v>0.21429999999999999</v>
      </c>
      <c r="BR21" s="27">
        <v>0.2165</v>
      </c>
      <c r="BS21" s="27">
        <v>0.22020000000000001</v>
      </c>
      <c r="BT21" s="27">
        <v>0.22170000000000001</v>
      </c>
      <c r="BU21" s="27">
        <v>0.21940000000000001</v>
      </c>
      <c r="BV21" s="27">
        <v>0.21920000000000001</v>
      </c>
      <c r="BW21" s="27">
        <v>0.2135</v>
      </c>
      <c r="BX21" s="27">
        <v>0.20960000000000001</v>
      </c>
      <c r="BY21" s="27">
        <v>0.2102</v>
      </c>
      <c r="BZ21" s="27">
        <v>0.21249999999999999</v>
      </c>
      <c r="CA21" s="27">
        <v>0.21790000000000001</v>
      </c>
      <c r="CB21" s="27">
        <v>0.22159999999999999</v>
      </c>
      <c r="CC21" s="27">
        <v>0.222</v>
      </c>
      <c r="CD21" s="27">
        <v>0.224</v>
      </c>
      <c r="CE21" s="27">
        <v>0.22570000000000001</v>
      </c>
      <c r="CF21" s="27">
        <v>0.21940000000000001</v>
      </c>
      <c r="CG21" s="27">
        <v>0.2152</v>
      </c>
      <c r="CH21" s="27">
        <v>0.21909999999999999</v>
      </c>
      <c r="CI21" s="27">
        <v>0.2155</v>
      </c>
      <c r="CJ21" s="27">
        <v>0.21609999999999999</v>
      </c>
      <c r="CK21" s="27">
        <v>0.2102</v>
      </c>
      <c r="CL21" s="27">
        <v>0.21249999999999999</v>
      </c>
      <c r="CM21" s="27">
        <v>0.22439999999999999</v>
      </c>
      <c r="CN21" s="27">
        <v>0.22259999999999999</v>
      </c>
      <c r="CO21" s="27">
        <v>0.21609999999999999</v>
      </c>
      <c r="CP21" s="27">
        <v>0.21970000000000001</v>
      </c>
      <c r="CQ21" s="27">
        <v>0.22189999999999999</v>
      </c>
      <c r="CR21" s="27">
        <v>0.2049</v>
      </c>
      <c r="CS21" s="27">
        <v>0.22359999999999999</v>
      </c>
      <c r="CT21" s="27">
        <v>0.23019999999999999</v>
      </c>
      <c r="CU21" s="27">
        <v>0.22800000000000001</v>
      </c>
      <c r="CV21" s="27">
        <v>0.23130000000000001</v>
      </c>
      <c r="CW21" s="27">
        <v>0.23050000000000001</v>
      </c>
      <c r="CX21" s="27">
        <v>0.222</v>
      </c>
      <c r="CY21" s="27">
        <v>0.22220000000000001</v>
      </c>
      <c r="CZ21" s="27">
        <v>0.21859999999999999</v>
      </c>
      <c r="DA21" s="27">
        <v>0.2135</v>
      </c>
      <c r="DB21" s="27">
        <v>0.2162</v>
      </c>
      <c r="DC21" s="27">
        <v>0.21110000000000001</v>
      </c>
      <c r="DD21" s="27">
        <v>0.20430000000000001</v>
      </c>
      <c r="DE21" s="27">
        <v>0.2041</v>
      </c>
      <c r="DF21" s="27">
        <v>0.20760000000000001</v>
      </c>
      <c r="DG21" s="27">
        <v>0.20699999999999999</v>
      </c>
      <c r="DH21" s="27">
        <v>0.20180000000000001</v>
      </c>
      <c r="DI21" s="27">
        <v>0.19739999999999999</v>
      </c>
      <c r="DJ21" s="27">
        <v>0.1986</v>
      </c>
      <c r="DK21" s="27">
        <v>0.1981</v>
      </c>
      <c r="DL21" s="27">
        <v>0.19889999999999999</v>
      </c>
      <c r="DM21" s="27">
        <v>0.20030000000000001</v>
      </c>
      <c r="DN21" s="27">
        <v>0.2031</v>
      </c>
      <c r="DO21" s="27">
        <v>0.20080000000000001</v>
      </c>
      <c r="DP21" s="27">
        <v>0.19989999999999999</v>
      </c>
      <c r="DQ21" s="27">
        <v>0.19900000000000001</v>
      </c>
      <c r="DR21" s="27">
        <v>0.1981</v>
      </c>
      <c r="DS21" s="27">
        <v>0.1938</v>
      </c>
      <c r="DT21" s="27">
        <v>0.1757</v>
      </c>
      <c r="DU21" s="27">
        <v>0.17599999999999999</v>
      </c>
      <c r="DV21" s="27">
        <v>0.16830000000000001</v>
      </c>
      <c r="DW21" s="27">
        <v>0.16619999999999999</v>
      </c>
      <c r="DX21" s="27">
        <v>0.1651</v>
      </c>
      <c r="DY21" s="27">
        <v>0.1555</v>
      </c>
      <c r="DZ21" s="27">
        <v>0.15579999999999999</v>
      </c>
      <c r="EA21" s="27">
        <v>0.15359999999999999</v>
      </c>
      <c r="EB21" s="27">
        <v>0.1542</v>
      </c>
      <c r="EC21" s="27">
        <v>0.15909999999999999</v>
      </c>
      <c r="ED21" s="27">
        <v>0.1565</v>
      </c>
      <c r="EE21" s="27">
        <v>0.152</v>
      </c>
      <c r="EF21" s="27">
        <v>0.15290000000000001</v>
      </c>
      <c r="EG21" s="27">
        <v>0.15029999999999999</v>
      </c>
      <c r="EH21" s="27">
        <v>0.15290000000000001</v>
      </c>
      <c r="EI21" s="27">
        <v>0.1532</v>
      </c>
      <c r="EJ21" s="27">
        <v>0.1517</v>
      </c>
      <c r="EK21" s="27">
        <v>0.14990000000000001</v>
      </c>
      <c r="EL21" s="27">
        <v>0.14979999999999999</v>
      </c>
      <c r="EM21" s="27">
        <v>0.14729999999999999</v>
      </c>
      <c r="EN21" s="27">
        <v>0.14899999999999999</v>
      </c>
      <c r="EO21" s="27">
        <v>0.15590000000000001</v>
      </c>
      <c r="EP21" s="27">
        <v>0.15579999999999999</v>
      </c>
      <c r="EQ21" s="27">
        <v>0.155</v>
      </c>
      <c r="ER21" s="27">
        <v>0.157</v>
      </c>
      <c r="ES21" s="27">
        <v>0.15240000000000001</v>
      </c>
      <c r="ET21" s="27">
        <v>0.14929999999999999</v>
      </c>
      <c r="EU21" s="27">
        <v>0.1477</v>
      </c>
      <c r="EV21" s="27">
        <v>0.1452</v>
      </c>
      <c r="EW21" s="27">
        <v>0.14280000000000001</v>
      </c>
      <c r="EX21" s="27">
        <v>0.14249999999999999</v>
      </c>
      <c r="EY21" s="27">
        <v>0.1472</v>
      </c>
      <c r="EZ21" s="27">
        <v>0.14580000000000001</v>
      </c>
      <c r="FA21" s="27">
        <v>0.1482</v>
      </c>
      <c r="FB21" s="27">
        <v>0.14760000000000001</v>
      </c>
      <c r="FC21" s="27">
        <v>0.14449999999999999</v>
      </c>
      <c r="FD21" s="27">
        <v>0.1414</v>
      </c>
      <c r="FE21" s="27">
        <v>0.13750000000000001</v>
      </c>
      <c r="FF21" s="27">
        <v>0.1341</v>
      </c>
      <c r="FG21" s="27">
        <v>0.13800000000000001</v>
      </c>
      <c r="FH21" s="27">
        <v>0.13769999999999999</v>
      </c>
      <c r="FI21" s="27">
        <v>0.1368</v>
      </c>
      <c r="FJ21" s="27">
        <v>0.13919999999999999</v>
      </c>
      <c r="FK21" s="27">
        <v>0.13919999999999999</v>
      </c>
      <c r="FL21" s="27">
        <v>0.13900000000000001</v>
      </c>
      <c r="FM21" s="27">
        <v>0.1404</v>
      </c>
      <c r="FN21" s="27">
        <v>0.13769999999999999</v>
      </c>
      <c r="FO21" s="27">
        <v>0.13719999999999999</v>
      </c>
      <c r="FP21" s="27">
        <v>0.13689999999999999</v>
      </c>
      <c r="FQ21" s="27">
        <v>0.13200000000000001</v>
      </c>
      <c r="FR21" s="27">
        <v>0.13650000000000001</v>
      </c>
      <c r="FS21" s="27">
        <v>0.13600000000000001</v>
      </c>
      <c r="FT21" s="27">
        <v>0.13500000000000001</v>
      </c>
      <c r="FU21" s="27">
        <v>0.13489999999999999</v>
      </c>
      <c r="FV21" s="27">
        <v>0.1351</v>
      </c>
      <c r="FW21" s="27">
        <v>0.1356</v>
      </c>
      <c r="FX21" s="27">
        <v>0.1371</v>
      </c>
      <c r="FY21" s="27">
        <v>0.13700000000000001</v>
      </c>
      <c r="FZ21" s="26">
        <v>0.13400000000000001</v>
      </c>
      <c r="GA21" s="22">
        <v>0.13250000000000001</v>
      </c>
      <c r="GB21" s="22">
        <v>0.13250000000000001</v>
      </c>
      <c r="GC21" s="22">
        <v>0.126</v>
      </c>
      <c r="GD21" s="22">
        <v>0.12570000000000001</v>
      </c>
      <c r="GE21" s="22">
        <v>0.13009999999999999</v>
      </c>
      <c r="GF21" s="22">
        <v>0.12989999999999999</v>
      </c>
      <c r="GG21" s="27">
        <v>0.1235</v>
      </c>
      <c r="GH21" s="26">
        <v>0.11169999999999999</v>
      </c>
      <c r="GI21" s="26">
        <v>0.11020000000000001</v>
      </c>
      <c r="GJ21" s="22">
        <v>0.1114</v>
      </c>
      <c r="GK21" s="22">
        <v>0.1208</v>
      </c>
      <c r="GL21" s="27">
        <v>0.1159</v>
      </c>
      <c r="GM21" s="27">
        <v>0.11849999999999999</v>
      </c>
      <c r="GN21" s="26">
        <v>0.11260000000000001</v>
      </c>
      <c r="GO21" s="22">
        <v>0.1057</v>
      </c>
      <c r="GP21" s="22">
        <v>0.10970000000000001</v>
      </c>
      <c r="GQ21" s="22">
        <v>0.1139</v>
      </c>
      <c r="GR21" s="25">
        <v>0.113</v>
      </c>
      <c r="GS21" s="24">
        <v>0.1062</v>
      </c>
      <c r="GT21" s="23">
        <v>0.10829999999999999</v>
      </c>
      <c r="GU21" s="22">
        <v>0.1076</v>
      </c>
      <c r="GV21" s="25">
        <v>0.10979999999999999</v>
      </c>
      <c r="GW21" s="24">
        <v>0.11210000000000001</v>
      </c>
      <c r="GX21" s="23">
        <v>0.1055</v>
      </c>
      <c r="GY21" s="22">
        <v>0.10489999999999999</v>
      </c>
      <c r="GZ21" s="22">
        <v>0.108</v>
      </c>
      <c r="HA21" s="25">
        <v>0.10489999999999999</v>
      </c>
      <c r="HB21" s="25">
        <v>0.1124</v>
      </c>
      <c r="HC21" s="25">
        <v>0.12790000000000001</v>
      </c>
      <c r="HD21" s="25">
        <v>0.12920000000000001</v>
      </c>
      <c r="HE21" s="25">
        <v>0.12909999999999999</v>
      </c>
      <c r="HF21" s="25">
        <v>0.13469999999999999</v>
      </c>
      <c r="HG21" s="25">
        <v>0.14430000000000001</v>
      </c>
      <c r="HH21" s="25">
        <v>0.15049999999999999</v>
      </c>
      <c r="HI21" s="25">
        <v>0.15490000000000001</v>
      </c>
      <c r="HJ21" s="25">
        <v>0.1515</v>
      </c>
      <c r="HK21" s="25">
        <v>0.158</v>
      </c>
      <c r="HL21" s="23">
        <v>0.1598</v>
      </c>
      <c r="HM21" s="23">
        <v>0.14829999999999999</v>
      </c>
      <c r="HN21" s="23">
        <v>0.15459999999999999</v>
      </c>
      <c r="HO21" s="23">
        <v>0.16120000000000001</v>
      </c>
      <c r="HP21" s="23">
        <v>0.15759999999999999</v>
      </c>
      <c r="HQ21" s="23">
        <v>0.15509999999999999</v>
      </c>
      <c r="HR21" s="23">
        <v>0.1603</v>
      </c>
      <c r="HS21" s="23">
        <v>0.1636</v>
      </c>
      <c r="HT21" s="23">
        <v>0.16039999999999999</v>
      </c>
      <c r="HU21" s="23">
        <v>0.16250000000000001</v>
      </c>
      <c r="HV21" s="23">
        <v>0.15629999999999999</v>
      </c>
      <c r="HW21" s="23">
        <v>0.15590000000000001</v>
      </c>
      <c r="HX21" s="23">
        <v>0.15529999999999999</v>
      </c>
      <c r="HY21" s="22">
        <v>0.1416</v>
      </c>
      <c r="HZ21" s="25">
        <v>0.14530000000000001</v>
      </c>
      <c r="IA21" s="23">
        <v>0.1517</v>
      </c>
      <c r="IB21" s="23">
        <v>0.14940000000000001</v>
      </c>
      <c r="IC21" s="22">
        <v>0.14530000000000001</v>
      </c>
      <c r="ID21" s="22">
        <v>0.15029999999999999</v>
      </c>
      <c r="IE21" s="25">
        <v>0.15229999999999999</v>
      </c>
      <c r="IF21" s="24">
        <v>0.15179999999999999</v>
      </c>
      <c r="IG21" s="24">
        <v>0.14580000000000001</v>
      </c>
      <c r="IH21" s="24">
        <v>0.1384</v>
      </c>
      <c r="II21" s="25">
        <v>0.13730000000000001</v>
      </c>
      <c r="IJ21" s="25">
        <v>0.1356</v>
      </c>
      <c r="IK21" s="25">
        <v>0.127</v>
      </c>
      <c r="IL21" s="25">
        <v>0.12529999999999999</v>
      </c>
      <c r="IM21" s="24">
        <v>0.13220000000000001</v>
      </c>
      <c r="IN21" s="23">
        <v>0.13170000000000001</v>
      </c>
      <c r="IO21" s="22">
        <v>0.13170000000000001</v>
      </c>
      <c r="IP21" s="25">
        <v>0.13089999999999999</v>
      </c>
      <c r="IQ21" s="25">
        <v>0.13109999999999999</v>
      </c>
      <c r="IR21" s="24">
        <v>0.13039999999999999</v>
      </c>
      <c r="IS21" s="24">
        <v>0.12690000000000001</v>
      </c>
      <c r="IT21" s="24">
        <v>0.1255</v>
      </c>
      <c r="IU21" s="24">
        <v>0.12509999999999999</v>
      </c>
      <c r="IV21" s="25">
        <v>0.1236</v>
      </c>
      <c r="IW21" s="25">
        <v>0.1147</v>
      </c>
      <c r="IX21" s="25">
        <v>0.1128</v>
      </c>
      <c r="IY21" s="23">
        <v>0.1202</v>
      </c>
      <c r="IZ21" s="22">
        <v>0.1172</v>
      </c>
      <c r="JA21" s="22">
        <v>0.1135</v>
      </c>
      <c r="JB21" s="22">
        <v>0.1138</v>
      </c>
      <c r="JC21" s="24">
        <v>0.11219999999999999</v>
      </c>
      <c r="JD21" s="23">
        <v>0.1125</v>
      </c>
      <c r="JE21" s="22">
        <v>0.1116</v>
      </c>
    </row>
    <row r="22" spans="1:265" ht="12.75" customHeight="1">
      <c r="A22" s="60"/>
      <c r="B22" s="60"/>
      <c r="C22" s="59" t="s">
        <v>64</v>
      </c>
      <c r="D22" s="29" t="s">
        <v>32</v>
      </c>
      <c r="E22" s="20">
        <v>20</v>
      </c>
      <c r="F22" s="19" t="s">
        <v>63</v>
      </c>
      <c r="G22" s="18">
        <v>8.3900000000000002E-2</v>
      </c>
      <c r="H22" s="18">
        <v>8.2100000000000006E-2</v>
      </c>
      <c r="I22" s="18">
        <v>8.2100000000000006E-2</v>
      </c>
      <c r="J22" s="18">
        <v>7.4700000000000003E-2</v>
      </c>
      <c r="K22" s="18">
        <v>7.6600000000000001E-2</v>
      </c>
      <c r="L22" s="18">
        <v>6.8099999999999994E-2</v>
      </c>
      <c r="M22" s="18">
        <v>6.4500000000000002E-2</v>
      </c>
      <c r="N22" s="18">
        <v>6.4899999999999999E-2</v>
      </c>
      <c r="O22" s="18">
        <v>6.1800000000000001E-2</v>
      </c>
      <c r="P22" s="18">
        <v>6.3100000000000003E-2</v>
      </c>
      <c r="Q22" s="18">
        <v>6.1699999999999998E-2</v>
      </c>
      <c r="R22" s="18">
        <v>6.2899999999999998E-2</v>
      </c>
      <c r="S22" s="18">
        <v>6.13E-2</v>
      </c>
      <c r="T22" s="18">
        <v>5.8999999999999997E-2</v>
      </c>
      <c r="U22" s="18">
        <v>5.8000000000000003E-2</v>
      </c>
      <c r="V22" s="18">
        <v>5.6899999999999999E-2</v>
      </c>
      <c r="W22" s="18">
        <v>5.6599999999999998E-2</v>
      </c>
      <c r="X22" s="18">
        <v>5.6800000000000003E-2</v>
      </c>
      <c r="Y22" s="18">
        <v>5.74E-2</v>
      </c>
      <c r="Z22" s="18">
        <v>5.7500000000000002E-2</v>
      </c>
      <c r="AA22" s="18">
        <v>5.7099999999999998E-2</v>
      </c>
      <c r="AB22" s="18">
        <v>5.6399999999999999E-2</v>
      </c>
      <c r="AC22" s="18">
        <v>5.6399999999999999E-2</v>
      </c>
      <c r="AD22" s="18">
        <v>5.6000000000000001E-2</v>
      </c>
      <c r="AE22" s="18">
        <v>5.5800000000000002E-2</v>
      </c>
      <c r="AF22" s="18">
        <v>5.5399999999999998E-2</v>
      </c>
      <c r="AG22" s="18">
        <v>5.5800000000000002E-2</v>
      </c>
      <c r="AH22" s="18">
        <v>5.74E-2</v>
      </c>
      <c r="AI22" s="18">
        <v>5.7000000000000002E-2</v>
      </c>
      <c r="AJ22" s="18">
        <v>5.8200000000000002E-2</v>
      </c>
      <c r="AK22" s="18">
        <v>5.9900000000000002E-2</v>
      </c>
      <c r="AL22" s="18">
        <v>6.2799999999999995E-2</v>
      </c>
      <c r="AM22" s="18">
        <v>6.3700000000000007E-2</v>
      </c>
      <c r="AN22" s="18">
        <v>6.5699999999999995E-2</v>
      </c>
      <c r="AO22" s="18">
        <v>6.6500000000000004E-2</v>
      </c>
      <c r="AP22" s="18">
        <v>6.8699999999999997E-2</v>
      </c>
      <c r="AQ22" s="18">
        <v>6.9699999999999998E-2</v>
      </c>
      <c r="AR22" s="18">
        <v>7.1900000000000006E-2</v>
      </c>
      <c r="AS22" s="18">
        <v>7.4300000000000005E-2</v>
      </c>
      <c r="AT22" s="18">
        <v>7.7600000000000002E-2</v>
      </c>
      <c r="AU22" s="18">
        <v>7.8100000000000003E-2</v>
      </c>
      <c r="AV22" s="18">
        <v>8.0199999999999994E-2</v>
      </c>
      <c r="AW22" s="18">
        <v>8.3400000000000002E-2</v>
      </c>
      <c r="AX22" s="18">
        <v>8.4699999999999998E-2</v>
      </c>
      <c r="AY22" s="18">
        <v>8.6199999999999999E-2</v>
      </c>
      <c r="AZ22" s="18">
        <v>8.6900000000000005E-2</v>
      </c>
      <c r="BA22" s="18">
        <v>8.8599999999999998E-2</v>
      </c>
      <c r="BB22" s="18">
        <v>8.7999999999999995E-2</v>
      </c>
      <c r="BC22" s="18">
        <v>8.6599999999999996E-2</v>
      </c>
      <c r="BD22" s="18">
        <v>7.4999999999999997E-2</v>
      </c>
      <c r="BE22" s="18">
        <v>7.1800000000000003E-2</v>
      </c>
      <c r="BF22" s="18">
        <v>7.0199999999999999E-2</v>
      </c>
      <c r="BG22" s="18">
        <v>7.1400000000000005E-2</v>
      </c>
      <c r="BH22" s="18">
        <v>7.2300000000000003E-2</v>
      </c>
      <c r="BI22" s="18">
        <v>7.2999999999999995E-2</v>
      </c>
      <c r="BJ22" s="18">
        <v>7.3999999999999996E-2</v>
      </c>
      <c r="BK22" s="18">
        <v>7.5999999999999998E-2</v>
      </c>
      <c r="BL22" s="18">
        <v>7.2900000000000006E-2</v>
      </c>
      <c r="BM22" s="18">
        <v>7.0999999999999994E-2</v>
      </c>
      <c r="BN22" s="18">
        <v>7.0099999999999996E-2</v>
      </c>
      <c r="BO22" s="18">
        <v>7.0199999999999999E-2</v>
      </c>
      <c r="BP22" s="18">
        <v>6.9900000000000004E-2</v>
      </c>
      <c r="BQ22" s="18">
        <v>7.1400000000000005E-2</v>
      </c>
      <c r="BR22" s="18">
        <v>6.9900000000000004E-2</v>
      </c>
      <c r="BS22" s="18">
        <v>6.7299999999999999E-2</v>
      </c>
      <c r="BT22" s="18">
        <v>6.7100000000000007E-2</v>
      </c>
      <c r="BU22" s="18">
        <v>6.6199999999999995E-2</v>
      </c>
      <c r="BV22" s="18">
        <v>6.4199999999999993E-2</v>
      </c>
      <c r="BW22" s="18">
        <v>6.4000000000000001E-2</v>
      </c>
      <c r="BX22" s="18">
        <v>6.4100000000000004E-2</v>
      </c>
      <c r="BY22" s="18">
        <v>6.25E-2</v>
      </c>
      <c r="BZ22" s="18">
        <v>6.1899999999999997E-2</v>
      </c>
      <c r="CA22" s="18">
        <v>6.08E-2</v>
      </c>
      <c r="CB22" s="18">
        <v>6.2199999999999998E-2</v>
      </c>
      <c r="CC22" s="18">
        <v>6.3799999999999996E-2</v>
      </c>
      <c r="CD22" s="18">
        <v>6.3700000000000007E-2</v>
      </c>
      <c r="CE22" s="18">
        <v>6.4899999999999999E-2</v>
      </c>
      <c r="CF22" s="18">
        <v>6.6000000000000003E-2</v>
      </c>
      <c r="CG22" s="18">
        <v>6.7699999999999996E-2</v>
      </c>
      <c r="CH22" s="18">
        <v>6.7100000000000007E-2</v>
      </c>
      <c r="CI22" s="18">
        <v>6.7400000000000002E-2</v>
      </c>
      <c r="CJ22" s="18">
        <v>6.8099999999999994E-2</v>
      </c>
      <c r="CK22" s="18">
        <v>6.8599999999999994E-2</v>
      </c>
      <c r="CL22" s="18">
        <v>6.9500000000000006E-2</v>
      </c>
      <c r="CM22" s="18">
        <v>6.93E-2</v>
      </c>
      <c r="CN22" s="18">
        <v>7.0000000000000007E-2</v>
      </c>
      <c r="CO22" s="18">
        <v>6.9099999999999995E-2</v>
      </c>
      <c r="CP22" s="18">
        <v>6.9400000000000003E-2</v>
      </c>
      <c r="CQ22" s="18">
        <v>6.9099999999999995E-2</v>
      </c>
      <c r="CR22" s="18">
        <v>7.0400000000000004E-2</v>
      </c>
      <c r="CS22" s="18">
        <v>7.0800000000000002E-2</v>
      </c>
      <c r="CT22" s="18">
        <v>7.0900000000000005E-2</v>
      </c>
      <c r="CU22" s="18">
        <v>7.0400000000000004E-2</v>
      </c>
      <c r="CV22" s="18">
        <v>6.93E-2</v>
      </c>
      <c r="CW22" s="18">
        <v>6.8199999999999997E-2</v>
      </c>
      <c r="CX22" s="18">
        <v>6.5799999999999997E-2</v>
      </c>
      <c r="CY22" s="18">
        <v>6.3299999999999995E-2</v>
      </c>
      <c r="CZ22" s="18">
        <v>6.1699999999999998E-2</v>
      </c>
      <c r="DA22" s="18">
        <v>5.9700000000000003E-2</v>
      </c>
      <c r="DB22" s="18">
        <v>5.7000000000000002E-2</v>
      </c>
      <c r="DC22" s="18">
        <v>5.4199999999999998E-2</v>
      </c>
      <c r="DD22" s="18">
        <v>5.1299999999999998E-2</v>
      </c>
      <c r="DE22" s="18">
        <v>5.0200000000000002E-2</v>
      </c>
      <c r="DF22" s="18">
        <v>5.0700000000000002E-2</v>
      </c>
      <c r="DG22" s="18">
        <v>5.11E-2</v>
      </c>
      <c r="DH22" s="18">
        <v>5.0900000000000001E-2</v>
      </c>
      <c r="DI22" s="18">
        <v>5.0900000000000001E-2</v>
      </c>
      <c r="DJ22" s="18">
        <v>5.11E-2</v>
      </c>
      <c r="DK22" s="18">
        <v>5.1700000000000003E-2</v>
      </c>
      <c r="DL22" s="18">
        <v>5.1499999999999997E-2</v>
      </c>
      <c r="DM22" s="18">
        <v>5.1900000000000002E-2</v>
      </c>
      <c r="DN22" s="18">
        <v>5.2400000000000002E-2</v>
      </c>
      <c r="DO22" s="18">
        <v>5.3100000000000001E-2</v>
      </c>
      <c r="DP22" s="18">
        <v>5.3499999999999999E-2</v>
      </c>
      <c r="DQ22" s="18">
        <v>5.3800000000000001E-2</v>
      </c>
      <c r="DR22" s="18">
        <v>5.3699999999999998E-2</v>
      </c>
      <c r="DS22" s="18">
        <v>5.2699999999999997E-2</v>
      </c>
      <c r="DT22" s="18">
        <v>4.9299999999999997E-2</v>
      </c>
      <c r="DU22" s="18">
        <v>4.8500000000000001E-2</v>
      </c>
      <c r="DV22" s="18">
        <v>4.8099999999999997E-2</v>
      </c>
      <c r="DW22" s="18">
        <v>4.8300000000000003E-2</v>
      </c>
      <c r="DX22" s="18">
        <v>4.6800000000000001E-2</v>
      </c>
      <c r="DY22" s="18">
        <v>4.4900000000000002E-2</v>
      </c>
      <c r="DZ22" s="18">
        <v>4.3499999999999997E-2</v>
      </c>
      <c r="EA22" s="18">
        <v>4.36E-2</v>
      </c>
      <c r="EB22" s="18">
        <v>4.36E-2</v>
      </c>
      <c r="EC22" s="18">
        <v>4.4200000000000003E-2</v>
      </c>
      <c r="ED22" s="18">
        <v>4.4299999999999999E-2</v>
      </c>
      <c r="EE22" s="18">
        <v>4.4499999999999998E-2</v>
      </c>
      <c r="EF22" s="18">
        <v>4.48E-2</v>
      </c>
      <c r="EG22" s="18">
        <v>4.4499999999999998E-2</v>
      </c>
      <c r="EH22" s="18">
        <v>4.5199999999999997E-2</v>
      </c>
      <c r="EI22" s="18">
        <v>4.5699999999999998E-2</v>
      </c>
      <c r="EJ22" s="18">
        <v>4.6300000000000001E-2</v>
      </c>
      <c r="EK22" s="18">
        <v>4.6399999999999997E-2</v>
      </c>
      <c r="EL22" s="18">
        <v>4.7399999999999998E-2</v>
      </c>
      <c r="EM22" s="18">
        <v>4.6399999999999997E-2</v>
      </c>
      <c r="EN22" s="18">
        <v>4.5999999999999999E-2</v>
      </c>
      <c r="EO22" s="18">
        <v>4.5699999999999998E-2</v>
      </c>
      <c r="EP22" s="18">
        <v>4.5400000000000003E-2</v>
      </c>
      <c r="EQ22" s="18">
        <v>4.5100000000000001E-2</v>
      </c>
      <c r="ER22" s="18">
        <v>4.5600000000000002E-2</v>
      </c>
      <c r="ES22" s="18">
        <v>4.4900000000000002E-2</v>
      </c>
      <c r="ET22" s="18">
        <v>4.5199999999999997E-2</v>
      </c>
      <c r="EU22" s="18">
        <v>4.4900000000000002E-2</v>
      </c>
      <c r="EV22" s="18">
        <v>4.5699999999999998E-2</v>
      </c>
      <c r="EW22" s="18">
        <v>4.4900000000000002E-2</v>
      </c>
      <c r="EX22" s="18">
        <v>4.4699999999999997E-2</v>
      </c>
      <c r="EY22" s="18">
        <v>4.5100000000000001E-2</v>
      </c>
      <c r="EZ22" s="18">
        <v>4.4299999999999999E-2</v>
      </c>
      <c r="FA22" s="18">
        <v>4.4200000000000003E-2</v>
      </c>
      <c r="FB22" s="18">
        <v>4.4400000000000002E-2</v>
      </c>
      <c r="FC22" s="18">
        <v>4.4999999999999998E-2</v>
      </c>
      <c r="FD22" s="18">
        <v>4.5199999999999997E-2</v>
      </c>
      <c r="FE22" s="18">
        <v>4.5199999999999997E-2</v>
      </c>
      <c r="FF22" s="18">
        <v>4.5100000000000001E-2</v>
      </c>
      <c r="FG22" s="18">
        <v>4.48E-2</v>
      </c>
      <c r="FH22" s="18">
        <v>4.5199999999999997E-2</v>
      </c>
      <c r="FI22" s="18">
        <v>4.41E-2</v>
      </c>
      <c r="FJ22" s="18">
        <v>4.4499999999999998E-2</v>
      </c>
      <c r="FK22" s="18">
        <v>4.4400000000000002E-2</v>
      </c>
      <c r="FL22" s="18">
        <v>4.4400000000000002E-2</v>
      </c>
      <c r="FM22" s="18">
        <v>4.4499999999999998E-2</v>
      </c>
      <c r="FN22" s="18">
        <v>4.4499999999999998E-2</v>
      </c>
      <c r="FO22" s="18">
        <v>4.4900000000000002E-2</v>
      </c>
      <c r="FP22" s="18">
        <v>4.5100000000000001E-2</v>
      </c>
      <c r="FQ22" s="18">
        <v>4.5100000000000001E-2</v>
      </c>
      <c r="FR22" s="18">
        <v>4.48E-2</v>
      </c>
      <c r="FS22" s="18">
        <v>4.4699999999999997E-2</v>
      </c>
      <c r="FT22" s="18">
        <v>4.48E-2</v>
      </c>
      <c r="FU22" s="18">
        <v>4.3999999999999997E-2</v>
      </c>
      <c r="FV22" s="18">
        <v>4.4200000000000003E-2</v>
      </c>
      <c r="FW22" s="18">
        <v>4.3900000000000002E-2</v>
      </c>
      <c r="FX22" s="18">
        <v>4.3700000000000003E-2</v>
      </c>
      <c r="FY22" s="18">
        <v>4.4299999999999999E-2</v>
      </c>
      <c r="FZ22" s="17">
        <v>4.3999999999999997E-2</v>
      </c>
      <c r="GA22" s="13">
        <v>4.4400000000000002E-2</v>
      </c>
      <c r="GB22" s="13">
        <v>4.4600000000000001E-2</v>
      </c>
      <c r="GC22" s="13">
        <v>4.4400000000000002E-2</v>
      </c>
      <c r="GD22" s="13">
        <v>4.41E-2</v>
      </c>
      <c r="GE22" s="13">
        <v>4.4400000000000002E-2</v>
      </c>
      <c r="GF22" s="13">
        <v>4.4400000000000002E-2</v>
      </c>
      <c r="GG22" s="18">
        <v>4.3099999999999999E-2</v>
      </c>
      <c r="GH22" s="17">
        <v>3.9600000000000003E-2</v>
      </c>
      <c r="GI22" s="17">
        <v>3.6999999999999998E-2</v>
      </c>
      <c r="GJ22" s="13">
        <v>3.2800000000000003E-2</v>
      </c>
      <c r="GK22" s="13">
        <v>3.2500000000000001E-2</v>
      </c>
      <c r="GL22" s="18">
        <v>3.0599999999999999E-2</v>
      </c>
      <c r="GM22" s="18">
        <v>3.0099999999999998E-2</v>
      </c>
      <c r="GN22" s="17">
        <v>2.9100000000000001E-2</v>
      </c>
      <c r="GO22" s="13">
        <v>2.92E-2</v>
      </c>
      <c r="GP22" s="13">
        <v>2.93E-2</v>
      </c>
      <c r="GQ22" s="13">
        <v>2.9600000000000001E-2</v>
      </c>
      <c r="GR22" s="16">
        <v>2.9100000000000001E-2</v>
      </c>
      <c r="GS22" s="15">
        <v>2.9000000000000001E-2</v>
      </c>
      <c r="GT22" s="14">
        <v>2.87E-2</v>
      </c>
      <c r="GU22" s="13">
        <v>2.9100000000000001E-2</v>
      </c>
      <c r="GV22" s="16">
        <v>2.93E-2</v>
      </c>
      <c r="GW22" s="15">
        <v>2.8799999999999999E-2</v>
      </c>
      <c r="GX22" s="14">
        <v>2.87E-2</v>
      </c>
      <c r="GY22" s="13">
        <v>2.9100000000000001E-2</v>
      </c>
      <c r="GZ22" s="13">
        <v>3.0800000000000001E-2</v>
      </c>
      <c r="HA22" s="16">
        <v>3.56E-2</v>
      </c>
      <c r="HB22" s="16">
        <v>4.53E-2</v>
      </c>
      <c r="HC22" s="16">
        <v>5.0900000000000001E-2</v>
      </c>
      <c r="HD22" s="16">
        <v>5.45E-2</v>
      </c>
      <c r="HE22" s="16">
        <v>6.1600000000000002E-2</v>
      </c>
      <c r="HF22" s="16">
        <v>6.6699999999999995E-2</v>
      </c>
      <c r="HG22" s="16">
        <v>6.9599999999999995E-2</v>
      </c>
      <c r="HH22" s="16">
        <v>8.1799999999999998E-2</v>
      </c>
      <c r="HI22" s="16">
        <v>8.9700000000000002E-2</v>
      </c>
      <c r="HJ22" s="16">
        <v>9.2999999999999999E-2</v>
      </c>
      <c r="HK22" s="16">
        <v>9.4399999999999998E-2</v>
      </c>
      <c r="HL22" s="14">
        <v>9.4899999999999998E-2</v>
      </c>
      <c r="HM22" s="14">
        <v>9.6100000000000005E-2</v>
      </c>
      <c r="HN22" s="14">
        <v>9.4899999999999998E-2</v>
      </c>
      <c r="HO22" s="14">
        <v>9.4200000000000006E-2</v>
      </c>
      <c r="HP22" s="14">
        <v>9.2600000000000002E-2</v>
      </c>
      <c r="HQ22" s="14">
        <v>9.2100000000000001E-2</v>
      </c>
      <c r="HR22" s="14">
        <v>9.2799999999999994E-2</v>
      </c>
      <c r="HS22" s="14">
        <v>9.1499999999999998E-2</v>
      </c>
      <c r="HT22" s="14">
        <v>9.11E-2</v>
      </c>
      <c r="HU22" s="14">
        <v>9.1800000000000007E-2</v>
      </c>
      <c r="HV22" s="14">
        <v>9.1800000000000007E-2</v>
      </c>
      <c r="HW22" s="14">
        <v>8.9200000000000002E-2</v>
      </c>
      <c r="HX22" s="14">
        <v>8.3599999999999994E-2</v>
      </c>
      <c r="HY22" s="13">
        <v>8.1299999999999997E-2</v>
      </c>
      <c r="HZ22" s="16">
        <v>7.8100000000000003E-2</v>
      </c>
      <c r="IA22" s="16">
        <v>8.0100000000000005E-2</v>
      </c>
      <c r="IB22" s="14">
        <v>7.9000000000000001E-2</v>
      </c>
      <c r="IC22" s="13">
        <v>8.0299999999999996E-2</v>
      </c>
      <c r="ID22" s="13">
        <v>7.9299999999999995E-2</v>
      </c>
      <c r="IE22" s="16">
        <v>7.9100000000000004E-2</v>
      </c>
      <c r="IF22" s="15">
        <v>7.9100000000000004E-2</v>
      </c>
      <c r="IG22" s="15">
        <v>7.9399999999999998E-2</v>
      </c>
      <c r="IH22" s="15">
        <v>7.9600000000000004E-2</v>
      </c>
      <c r="II22" s="16">
        <v>7.8399999999999997E-2</v>
      </c>
      <c r="IJ22" s="16">
        <v>7.9000000000000001E-2</v>
      </c>
      <c r="IK22" s="16">
        <v>7.8799999999999995E-2</v>
      </c>
      <c r="IL22" s="16">
        <v>7.9000000000000001E-2</v>
      </c>
      <c r="IM22" s="15">
        <v>7.8E-2</v>
      </c>
      <c r="IN22" s="14">
        <v>7.8E-2</v>
      </c>
      <c r="IO22" s="13">
        <v>7.8799999999999995E-2</v>
      </c>
      <c r="IP22" s="16">
        <v>7.8E-2</v>
      </c>
      <c r="IQ22" s="16">
        <v>7.5800000000000006E-2</v>
      </c>
      <c r="IR22" s="15">
        <v>7.2499999999999995E-2</v>
      </c>
      <c r="IS22" s="15">
        <v>7.1800000000000003E-2</v>
      </c>
      <c r="IT22" s="15">
        <v>7.1499999999999994E-2</v>
      </c>
      <c r="IU22" s="15">
        <v>6.9699999999999998E-2</v>
      </c>
      <c r="IV22" s="16">
        <v>6.7400000000000002E-2</v>
      </c>
      <c r="IW22" s="16">
        <v>6.5699999999999995E-2</v>
      </c>
      <c r="IX22" s="16">
        <v>6.3299999999999995E-2</v>
      </c>
      <c r="IY22" s="14">
        <v>6.0100000000000001E-2</v>
      </c>
      <c r="IZ22" s="13">
        <v>5.9400000000000001E-2</v>
      </c>
      <c r="JA22" s="13">
        <v>5.7099999999999998E-2</v>
      </c>
      <c r="JB22" s="13">
        <v>5.67E-2</v>
      </c>
      <c r="JC22" s="15">
        <v>5.6899999999999999E-2</v>
      </c>
      <c r="JD22" s="14">
        <v>5.7299999999999997E-2</v>
      </c>
      <c r="JE22" s="13">
        <v>5.6899999999999999E-2</v>
      </c>
    </row>
    <row r="23" spans="1:265" ht="12.75" customHeight="1">
      <c r="A23" s="60"/>
      <c r="B23" s="60"/>
      <c r="C23" s="60"/>
      <c r="D23" s="29" t="s">
        <v>30</v>
      </c>
      <c r="E23" s="20">
        <v>21</v>
      </c>
      <c r="F23" s="19" t="s">
        <v>62</v>
      </c>
      <c r="G23" s="27">
        <v>8.4199999999999997E-2</v>
      </c>
      <c r="H23" s="27">
        <v>8.2900000000000001E-2</v>
      </c>
      <c r="I23" s="27">
        <v>7.6300000000000007E-2</v>
      </c>
      <c r="J23" s="27">
        <v>7.0699999999999999E-2</v>
      </c>
      <c r="K23" s="27">
        <v>6.8000000000000005E-2</v>
      </c>
      <c r="L23" s="27">
        <v>6.4299999999999996E-2</v>
      </c>
      <c r="M23" s="27">
        <v>5.8999999999999997E-2</v>
      </c>
      <c r="N23" s="27">
        <v>6.1499999999999999E-2</v>
      </c>
      <c r="O23" s="27">
        <v>5.9700000000000003E-2</v>
      </c>
      <c r="P23" s="27">
        <v>6.1199999999999997E-2</v>
      </c>
      <c r="Q23" s="27">
        <v>6.1100000000000002E-2</v>
      </c>
      <c r="R23" s="27">
        <v>6.0999999999999999E-2</v>
      </c>
      <c r="S23" s="27">
        <v>5.9400000000000001E-2</v>
      </c>
      <c r="T23" s="27">
        <v>5.74E-2</v>
      </c>
      <c r="U23" s="27">
        <v>5.5300000000000002E-2</v>
      </c>
      <c r="V23" s="27">
        <v>5.67E-2</v>
      </c>
      <c r="W23" s="27">
        <v>5.5800000000000002E-2</v>
      </c>
      <c r="X23" s="27">
        <v>5.6000000000000001E-2</v>
      </c>
      <c r="Y23" s="27">
        <v>5.7200000000000001E-2</v>
      </c>
      <c r="Z23" s="27">
        <v>5.6800000000000003E-2</v>
      </c>
      <c r="AA23" s="27">
        <v>5.8200000000000002E-2</v>
      </c>
      <c r="AB23" s="27">
        <v>5.8900000000000001E-2</v>
      </c>
      <c r="AC23" s="27">
        <v>5.8400000000000001E-2</v>
      </c>
      <c r="AD23" s="27">
        <v>5.7799999999999997E-2</v>
      </c>
      <c r="AE23" s="27">
        <v>5.67E-2</v>
      </c>
      <c r="AF23" s="27">
        <v>5.6800000000000003E-2</v>
      </c>
      <c r="AG23" s="27">
        <v>5.7200000000000001E-2</v>
      </c>
      <c r="AH23" s="27">
        <v>5.8299999999999998E-2</v>
      </c>
      <c r="AI23" s="27">
        <v>5.91E-2</v>
      </c>
      <c r="AJ23" s="27">
        <v>6.1199999999999997E-2</v>
      </c>
      <c r="AK23" s="27">
        <v>6.2700000000000006E-2</v>
      </c>
      <c r="AL23" s="27">
        <v>6.4299999999999996E-2</v>
      </c>
      <c r="AM23" s="27">
        <v>6.6500000000000004E-2</v>
      </c>
      <c r="AN23" s="27">
        <v>6.59E-2</v>
      </c>
      <c r="AO23" s="27">
        <v>6.9800000000000001E-2</v>
      </c>
      <c r="AP23" s="27">
        <v>7.1599999999999997E-2</v>
      </c>
      <c r="AQ23" s="27">
        <v>7.2599999999999998E-2</v>
      </c>
      <c r="AR23" s="27">
        <v>7.22E-2</v>
      </c>
      <c r="AS23" s="27">
        <v>7.46E-2</v>
      </c>
      <c r="AT23" s="27">
        <v>7.4399999999999994E-2</v>
      </c>
      <c r="AU23" s="27">
        <v>7.5999999999999998E-2</v>
      </c>
      <c r="AV23" s="27">
        <v>7.9299999999999995E-2</v>
      </c>
      <c r="AW23" s="27">
        <v>7.9299999999999995E-2</v>
      </c>
      <c r="AX23" s="27">
        <v>8.0699999999999994E-2</v>
      </c>
      <c r="AY23" s="27">
        <v>8.0299999999999996E-2</v>
      </c>
      <c r="AZ23" s="27">
        <v>8.2799999999999999E-2</v>
      </c>
      <c r="BA23" s="27">
        <v>8.3000000000000004E-2</v>
      </c>
      <c r="BB23" s="27">
        <v>7.9899999999999999E-2</v>
      </c>
      <c r="BC23" s="27">
        <v>7.5800000000000006E-2</v>
      </c>
      <c r="BD23" s="27">
        <v>6.8500000000000005E-2</v>
      </c>
      <c r="BE23" s="27">
        <v>6.5299999999999997E-2</v>
      </c>
      <c r="BF23" s="27">
        <v>6.6900000000000001E-2</v>
      </c>
      <c r="BG23" s="27">
        <v>7.2499999999999995E-2</v>
      </c>
      <c r="BH23" s="27">
        <v>7.3800000000000004E-2</v>
      </c>
      <c r="BI23" s="27">
        <v>7.1099999999999997E-2</v>
      </c>
      <c r="BJ23" s="27">
        <v>6.7400000000000002E-2</v>
      </c>
      <c r="BK23" s="27">
        <v>6.8099999999999994E-2</v>
      </c>
      <c r="BL23" s="27">
        <v>6.7699999999999996E-2</v>
      </c>
      <c r="BM23" s="27">
        <v>6.7000000000000004E-2</v>
      </c>
      <c r="BN23" s="27">
        <v>6.8500000000000005E-2</v>
      </c>
      <c r="BO23" s="27">
        <v>6.7799999999999999E-2</v>
      </c>
      <c r="BP23" s="27">
        <v>6.7799999999999999E-2</v>
      </c>
      <c r="BQ23" s="27">
        <v>6.5799999999999997E-2</v>
      </c>
      <c r="BR23" s="27">
        <v>6.4600000000000005E-2</v>
      </c>
      <c r="BS23" s="27">
        <v>6.2799999999999995E-2</v>
      </c>
      <c r="BT23" s="27">
        <v>6.2300000000000001E-2</v>
      </c>
      <c r="BU23" s="27">
        <v>6.0400000000000002E-2</v>
      </c>
      <c r="BV23" s="27">
        <v>5.9700000000000003E-2</v>
      </c>
      <c r="BW23" s="27">
        <v>5.8299999999999998E-2</v>
      </c>
      <c r="BX23" s="27">
        <v>5.7500000000000002E-2</v>
      </c>
      <c r="BY23" s="27">
        <v>5.7500000000000002E-2</v>
      </c>
      <c r="BZ23" s="27">
        <v>5.8799999999999998E-2</v>
      </c>
      <c r="CA23" s="27" t="s">
        <v>25</v>
      </c>
      <c r="CB23" s="27" t="s">
        <v>25</v>
      </c>
      <c r="CC23" s="27" t="s">
        <v>25</v>
      </c>
      <c r="CD23" s="27" t="s">
        <v>25</v>
      </c>
      <c r="CE23" s="27" t="s">
        <v>25</v>
      </c>
      <c r="CF23" s="27" t="s">
        <v>25</v>
      </c>
      <c r="CG23" s="27" t="s">
        <v>25</v>
      </c>
      <c r="CH23" s="27" t="s">
        <v>25</v>
      </c>
      <c r="CI23" s="27" t="s">
        <v>25</v>
      </c>
      <c r="CJ23" s="27" t="s">
        <v>25</v>
      </c>
      <c r="CK23" s="27" t="s">
        <v>25</v>
      </c>
      <c r="CL23" s="27" t="s">
        <v>25</v>
      </c>
      <c r="CM23" s="27" t="s">
        <v>25</v>
      </c>
      <c r="CN23" s="27" t="s">
        <v>25</v>
      </c>
      <c r="CO23" s="27" t="s">
        <v>25</v>
      </c>
      <c r="CP23" s="27" t="s">
        <v>25</v>
      </c>
      <c r="CQ23" s="27" t="s">
        <v>25</v>
      </c>
      <c r="CR23" s="27" t="s">
        <v>25</v>
      </c>
      <c r="CS23" s="27" t="s">
        <v>25</v>
      </c>
      <c r="CT23" s="27" t="s">
        <v>25</v>
      </c>
      <c r="CU23" s="27" t="s">
        <v>25</v>
      </c>
      <c r="CV23" s="27" t="s">
        <v>25</v>
      </c>
      <c r="CW23" s="27" t="s">
        <v>25</v>
      </c>
      <c r="CX23" s="27" t="s">
        <v>25</v>
      </c>
      <c r="CY23" s="27" t="s">
        <v>25</v>
      </c>
      <c r="CZ23" s="27" t="s">
        <v>25</v>
      </c>
      <c r="DA23" s="27" t="s">
        <v>25</v>
      </c>
      <c r="DB23" s="27" t="s">
        <v>25</v>
      </c>
      <c r="DC23" s="27" t="s">
        <v>25</v>
      </c>
      <c r="DD23" s="27" t="s">
        <v>25</v>
      </c>
      <c r="DE23" s="27" t="s">
        <v>25</v>
      </c>
      <c r="DF23" s="27" t="s">
        <v>25</v>
      </c>
      <c r="DG23" s="27" t="s">
        <v>25</v>
      </c>
      <c r="DH23" s="27">
        <v>5.91E-2</v>
      </c>
      <c r="DI23" s="27">
        <v>6.0199999999999997E-2</v>
      </c>
      <c r="DJ23" s="27" t="s">
        <v>25</v>
      </c>
      <c r="DK23" s="27" t="s">
        <v>25</v>
      </c>
      <c r="DL23" s="27" t="s">
        <v>25</v>
      </c>
      <c r="DM23" s="27" t="s">
        <v>25</v>
      </c>
      <c r="DN23" s="27" t="s">
        <v>25</v>
      </c>
      <c r="DO23" s="27" t="s">
        <v>25</v>
      </c>
      <c r="DP23" s="27" t="s">
        <v>25</v>
      </c>
      <c r="DQ23" s="27" t="s">
        <v>25</v>
      </c>
      <c r="DR23" s="27" t="s">
        <v>25</v>
      </c>
      <c r="DS23" s="27" t="s">
        <v>25</v>
      </c>
      <c r="DT23" s="27" t="s">
        <v>25</v>
      </c>
      <c r="DU23" s="27">
        <v>4.2599999999999999E-2</v>
      </c>
      <c r="DV23" s="27" t="s">
        <v>25</v>
      </c>
      <c r="DW23" s="27" t="s">
        <v>25</v>
      </c>
      <c r="DX23" s="27" t="s">
        <v>25</v>
      </c>
      <c r="DY23" s="27" t="s">
        <v>25</v>
      </c>
      <c r="DZ23" s="27" t="s">
        <v>25</v>
      </c>
      <c r="EA23" s="27" t="s">
        <v>25</v>
      </c>
      <c r="EB23" s="27" t="s">
        <v>25</v>
      </c>
      <c r="EC23" s="27" t="s">
        <v>25</v>
      </c>
      <c r="ED23" s="27" t="s">
        <v>25</v>
      </c>
      <c r="EE23" s="27" t="s">
        <v>25</v>
      </c>
      <c r="EF23" s="27" t="s">
        <v>25</v>
      </c>
      <c r="EG23" s="27" t="s">
        <v>25</v>
      </c>
      <c r="EH23" s="27" t="s">
        <v>25</v>
      </c>
      <c r="EI23" s="27" t="s">
        <v>25</v>
      </c>
      <c r="EJ23" s="27" t="s">
        <v>25</v>
      </c>
      <c r="EK23" s="27" t="s">
        <v>25</v>
      </c>
      <c r="EL23" s="27" t="s">
        <v>25</v>
      </c>
      <c r="EM23" s="27" t="s">
        <v>25</v>
      </c>
      <c r="EN23" s="27" t="s">
        <v>25</v>
      </c>
      <c r="EO23" s="27" t="s">
        <v>25</v>
      </c>
      <c r="EP23" s="27" t="s">
        <v>25</v>
      </c>
      <c r="EQ23" s="27" t="s">
        <v>25</v>
      </c>
      <c r="ER23" s="27" t="s">
        <v>25</v>
      </c>
      <c r="ES23" s="27" t="s">
        <v>25</v>
      </c>
      <c r="ET23" s="27" t="s">
        <v>25</v>
      </c>
      <c r="EU23" s="27" t="s">
        <v>25</v>
      </c>
      <c r="EV23" s="27" t="s">
        <v>25</v>
      </c>
      <c r="EW23" s="27" t="s">
        <v>25</v>
      </c>
      <c r="EX23" s="27" t="s">
        <v>25</v>
      </c>
      <c r="EY23" s="27" t="s">
        <v>25</v>
      </c>
      <c r="EZ23" s="27" t="s">
        <v>25</v>
      </c>
      <c r="FA23" s="27" t="s">
        <v>25</v>
      </c>
      <c r="FB23" s="27" t="s">
        <v>25</v>
      </c>
      <c r="FC23" s="27" t="s">
        <v>25</v>
      </c>
      <c r="FD23" s="27" t="s">
        <v>25</v>
      </c>
      <c r="FE23" s="27" t="s">
        <v>25</v>
      </c>
      <c r="FF23" s="27" t="s">
        <v>25</v>
      </c>
      <c r="FG23" s="27" t="s">
        <v>25</v>
      </c>
      <c r="FH23" s="27" t="s">
        <v>25</v>
      </c>
      <c r="FI23" s="27" t="s">
        <v>25</v>
      </c>
      <c r="FJ23" s="27" t="s">
        <v>25</v>
      </c>
      <c r="FK23" s="27" t="s">
        <v>25</v>
      </c>
      <c r="FL23" s="27" t="s">
        <v>25</v>
      </c>
      <c r="FM23" s="27" t="s">
        <v>25</v>
      </c>
      <c r="FN23" s="27" t="s">
        <v>25</v>
      </c>
      <c r="FO23" s="27" t="s">
        <v>25</v>
      </c>
      <c r="FP23" s="27" t="s">
        <v>25</v>
      </c>
      <c r="FQ23" s="27" t="s">
        <v>25</v>
      </c>
      <c r="FR23" s="27" t="s">
        <v>25</v>
      </c>
      <c r="FS23" s="27" t="s">
        <v>25</v>
      </c>
      <c r="FT23" s="27" t="s">
        <v>25</v>
      </c>
      <c r="FU23" s="27" t="s">
        <v>25</v>
      </c>
      <c r="FV23" s="27" t="s">
        <v>25</v>
      </c>
      <c r="FW23" s="27" t="s">
        <v>25</v>
      </c>
      <c r="FX23" s="27" t="s">
        <v>25</v>
      </c>
      <c r="FY23" s="27" t="s">
        <v>25</v>
      </c>
      <c r="FZ23" s="26" t="s">
        <v>25</v>
      </c>
      <c r="GA23" s="22" t="s">
        <v>25</v>
      </c>
      <c r="GB23" s="22" t="s">
        <v>25</v>
      </c>
      <c r="GC23" s="22" t="s">
        <v>25</v>
      </c>
      <c r="GD23" s="22" t="s">
        <v>25</v>
      </c>
      <c r="GE23" s="22" t="s">
        <v>25</v>
      </c>
      <c r="GF23" s="22" t="s">
        <v>25</v>
      </c>
      <c r="GG23" s="27" t="s">
        <v>25</v>
      </c>
      <c r="GH23" s="26" t="s">
        <v>25</v>
      </c>
      <c r="GI23" s="26" t="s">
        <v>25</v>
      </c>
      <c r="GJ23" s="22">
        <v>2.7E-2</v>
      </c>
      <c r="GK23" s="26" t="s">
        <v>25</v>
      </c>
      <c r="GL23" s="26" t="s">
        <v>25</v>
      </c>
      <c r="GM23" s="26" t="s">
        <v>25</v>
      </c>
      <c r="GN23" s="26" t="s">
        <v>25</v>
      </c>
      <c r="GO23" s="26" t="s">
        <v>25</v>
      </c>
      <c r="GP23" s="26" t="s">
        <v>25</v>
      </c>
      <c r="GQ23" s="26" t="s">
        <v>25</v>
      </c>
      <c r="GR23" s="26" t="s">
        <v>25</v>
      </c>
      <c r="GS23" s="26" t="s">
        <v>25</v>
      </c>
      <c r="GT23" s="26" t="s">
        <v>25</v>
      </c>
      <c r="GU23" s="26" t="s">
        <v>25</v>
      </c>
      <c r="GV23" s="26" t="s">
        <v>25</v>
      </c>
      <c r="GW23" s="26" t="s">
        <v>25</v>
      </c>
      <c r="GX23" s="26" t="s">
        <v>25</v>
      </c>
      <c r="GY23" s="26" t="s">
        <v>25</v>
      </c>
      <c r="GZ23" s="22" t="s">
        <v>25</v>
      </c>
      <c r="HA23" s="25" t="s">
        <v>25</v>
      </c>
      <c r="HB23" s="25" t="s">
        <v>25</v>
      </c>
      <c r="HC23" s="25" t="s">
        <v>25</v>
      </c>
      <c r="HD23" s="25" t="s">
        <v>25</v>
      </c>
      <c r="HE23" s="25" t="s">
        <v>25</v>
      </c>
      <c r="HF23" s="25">
        <v>7.8799999999999995E-2</v>
      </c>
      <c r="HG23" s="25">
        <v>8.9499999999999996E-2</v>
      </c>
      <c r="HH23" s="25">
        <v>9.2399999999999996E-2</v>
      </c>
      <c r="HI23" s="25">
        <v>9.5799999999999996E-2</v>
      </c>
      <c r="HJ23" s="25">
        <v>9.6299999999999997E-2</v>
      </c>
      <c r="HK23" s="25">
        <v>9.4399999999999998E-2</v>
      </c>
      <c r="HL23" s="23">
        <v>9.4600000000000004E-2</v>
      </c>
      <c r="HM23" s="23">
        <v>9.6799999999999997E-2</v>
      </c>
      <c r="HN23" s="23">
        <v>9.3600000000000003E-2</v>
      </c>
      <c r="HO23" s="23">
        <v>9.0499999999999997E-2</v>
      </c>
      <c r="HP23" s="23" t="s">
        <v>25</v>
      </c>
      <c r="HQ23" s="23" t="s">
        <v>25</v>
      </c>
      <c r="HR23" s="23" t="s">
        <v>25</v>
      </c>
      <c r="HS23" s="23" t="s">
        <v>25</v>
      </c>
      <c r="HT23" s="23" t="s">
        <v>25</v>
      </c>
      <c r="HU23" s="23" t="s">
        <v>25</v>
      </c>
      <c r="HV23" s="23" t="s">
        <v>25</v>
      </c>
      <c r="HW23" s="23" t="s">
        <v>25</v>
      </c>
      <c r="HX23" s="23" t="s">
        <v>25</v>
      </c>
      <c r="HY23" s="22" t="s">
        <v>25</v>
      </c>
      <c r="HZ23" s="25" t="s">
        <v>25</v>
      </c>
      <c r="IA23" s="23" t="s">
        <v>25</v>
      </c>
      <c r="IB23" s="23" t="s">
        <v>25</v>
      </c>
      <c r="IC23" s="22" t="s">
        <v>25</v>
      </c>
      <c r="ID23" s="22" t="s">
        <v>25</v>
      </c>
      <c r="IE23" s="25" t="s">
        <v>25</v>
      </c>
      <c r="IF23" s="24" t="s">
        <v>25</v>
      </c>
      <c r="IG23" s="24" t="s">
        <v>25</v>
      </c>
      <c r="IH23" s="24" t="s">
        <v>25</v>
      </c>
      <c r="II23" s="25" t="s">
        <v>25</v>
      </c>
      <c r="IJ23" s="25" t="s">
        <v>25</v>
      </c>
      <c r="IK23" s="25" t="s">
        <v>25</v>
      </c>
      <c r="IL23" s="25" t="s">
        <v>25</v>
      </c>
      <c r="IM23" s="24">
        <v>8.1600000000000006E-2</v>
      </c>
      <c r="IN23" s="23">
        <v>8.1600000000000006E-2</v>
      </c>
      <c r="IO23" s="22">
        <v>8.1000000000000003E-2</v>
      </c>
      <c r="IP23" s="25">
        <v>7.7200000000000005E-2</v>
      </c>
      <c r="IQ23" s="25">
        <v>7.3700000000000002E-2</v>
      </c>
      <c r="IR23" s="24">
        <v>7.2800000000000004E-2</v>
      </c>
      <c r="IS23" s="24" t="s">
        <v>25</v>
      </c>
      <c r="IT23" s="24" t="s">
        <v>25</v>
      </c>
      <c r="IU23" s="24" t="s">
        <v>25</v>
      </c>
      <c r="IV23" s="25" t="s">
        <v>25</v>
      </c>
      <c r="IW23" s="25" t="s">
        <v>25</v>
      </c>
      <c r="IX23" s="25" t="s">
        <v>25</v>
      </c>
      <c r="IY23" s="23" t="s">
        <v>25</v>
      </c>
      <c r="IZ23" s="22" t="s">
        <v>25</v>
      </c>
      <c r="JA23" s="22" t="s">
        <v>25</v>
      </c>
      <c r="JB23" s="22" t="s">
        <v>25</v>
      </c>
      <c r="JC23" s="24" t="s">
        <v>25</v>
      </c>
      <c r="JD23" s="23">
        <v>5.8099999999999999E-2</v>
      </c>
      <c r="JE23" s="22" t="s">
        <v>25</v>
      </c>
    </row>
    <row r="24" spans="1:265" ht="12.75" customHeight="1">
      <c r="A24" s="60"/>
      <c r="B24" s="60"/>
      <c r="C24" s="60"/>
      <c r="D24" s="29" t="s">
        <v>28</v>
      </c>
      <c r="E24" s="20">
        <v>22</v>
      </c>
      <c r="F24" s="19" t="s">
        <v>61</v>
      </c>
      <c r="G24" s="18">
        <v>9.8299999999999998E-2</v>
      </c>
      <c r="H24" s="18">
        <v>8.5699999999999998E-2</v>
      </c>
      <c r="I24" s="18">
        <v>9.0399999999999994E-2</v>
      </c>
      <c r="J24" s="18">
        <v>8.3000000000000004E-2</v>
      </c>
      <c r="K24" s="18">
        <v>8.6800000000000002E-2</v>
      </c>
      <c r="L24" s="18">
        <v>7.1300000000000002E-2</v>
      </c>
      <c r="M24" s="18">
        <v>7.5999999999999998E-2</v>
      </c>
      <c r="N24" s="18">
        <v>7.3800000000000004E-2</v>
      </c>
      <c r="O24" s="18">
        <v>7.7100000000000002E-2</v>
      </c>
      <c r="P24" s="18">
        <v>7.0099999999999996E-2</v>
      </c>
      <c r="Q24" s="18">
        <v>5.7000000000000002E-2</v>
      </c>
      <c r="R24" s="18">
        <v>6.5500000000000003E-2</v>
      </c>
      <c r="S24" s="18">
        <v>6.3200000000000006E-2</v>
      </c>
      <c r="T24" s="18">
        <v>6.4199999999999993E-2</v>
      </c>
      <c r="U24" s="18">
        <v>7.6100000000000001E-2</v>
      </c>
      <c r="V24" s="18" t="s">
        <v>26</v>
      </c>
      <c r="W24" s="18">
        <v>6.5799999999999997E-2</v>
      </c>
      <c r="X24" s="18" t="s">
        <v>26</v>
      </c>
      <c r="Y24" s="18" t="s">
        <v>26</v>
      </c>
      <c r="Z24" s="18">
        <v>7.2300000000000003E-2</v>
      </c>
      <c r="AA24" s="18">
        <v>7.6999999999999999E-2</v>
      </c>
      <c r="AB24" s="18">
        <v>7.1599999999999997E-2</v>
      </c>
      <c r="AC24" s="18">
        <v>7.1099999999999997E-2</v>
      </c>
      <c r="AD24" s="18">
        <v>6.4799999999999996E-2</v>
      </c>
      <c r="AE24" s="18">
        <v>6.3600000000000004E-2</v>
      </c>
      <c r="AF24" s="18">
        <v>5.9900000000000002E-2</v>
      </c>
      <c r="AG24" s="18">
        <v>5.9400000000000001E-2</v>
      </c>
      <c r="AH24" s="18">
        <v>7.1199999999999999E-2</v>
      </c>
      <c r="AI24" s="18">
        <v>7.1900000000000006E-2</v>
      </c>
      <c r="AJ24" s="18">
        <v>7.0000000000000007E-2</v>
      </c>
      <c r="AK24" s="18">
        <v>7.4200000000000002E-2</v>
      </c>
      <c r="AL24" s="18">
        <v>7.2800000000000004E-2</v>
      </c>
      <c r="AM24" s="18">
        <v>7.7499999999999999E-2</v>
      </c>
      <c r="AN24" s="18">
        <v>7.6499999999999999E-2</v>
      </c>
      <c r="AO24" s="18">
        <v>7.6200000000000004E-2</v>
      </c>
      <c r="AP24" s="18">
        <v>7.9200000000000007E-2</v>
      </c>
      <c r="AQ24" s="18">
        <v>7.4300000000000005E-2</v>
      </c>
      <c r="AR24" s="18">
        <v>7.8100000000000003E-2</v>
      </c>
      <c r="AS24" s="18">
        <v>8.0600000000000005E-2</v>
      </c>
      <c r="AT24" s="18">
        <v>7.9899999999999999E-2</v>
      </c>
      <c r="AU24" s="18">
        <v>7.9600000000000004E-2</v>
      </c>
      <c r="AV24" s="18">
        <v>8.5999999999999993E-2</v>
      </c>
      <c r="AW24" s="18">
        <v>8.0299999999999996E-2</v>
      </c>
      <c r="AX24" s="18">
        <v>7.8700000000000006E-2</v>
      </c>
      <c r="AY24" s="18">
        <v>7.85E-2</v>
      </c>
      <c r="AZ24" s="18">
        <v>8.0100000000000005E-2</v>
      </c>
      <c r="BA24" s="18">
        <v>7.6899999999999996E-2</v>
      </c>
      <c r="BB24" s="18">
        <v>7.2999999999999995E-2</v>
      </c>
      <c r="BC24" s="18">
        <v>8.5999999999999993E-2</v>
      </c>
      <c r="BD24" s="18">
        <v>8.4400000000000003E-2</v>
      </c>
      <c r="BE24" s="18">
        <v>7.0400000000000004E-2</v>
      </c>
      <c r="BF24" s="18">
        <v>7.6600000000000001E-2</v>
      </c>
      <c r="BG24" s="18">
        <v>7.5800000000000006E-2</v>
      </c>
      <c r="BH24" s="18">
        <v>5.2900000000000003E-2</v>
      </c>
      <c r="BI24" s="18">
        <v>5.6500000000000002E-2</v>
      </c>
      <c r="BJ24" s="18" t="s">
        <v>26</v>
      </c>
      <c r="BK24" s="18">
        <v>7.7499999999999999E-2</v>
      </c>
      <c r="BL24" s="18">
        <v>6.3200000000000006E-2</v>
      </c>
      <c r="BM24" s="18">
        <v>7.7499999999999999E-2</v>
      </c>
      <c r="BN24" s="18">
        <v>7.9500000000000001E-2</v>
      </c>
      <c r="BO24" s="18">
        <v>7.8299999999999995E-2</v>
      </c>
      <c r="BP24" s="18">
        <v>7.9500000000000001E-2</v>
      </c>
      <c r="BQ24" s="18">
        <v>7.22E-2</v>
      </c>
      <c r="BR24" s="18">
        <v>7.9899999999999999E-2</v>
      </c>
      <c r="BS24" s="18">
        <v>7.3200000000000001E-2</v>
      </c>
      <c r="BT24" s="18" t="s">
        <v>26</v>
      </c>
      <c r="BU24" s="18">
        <v>0.02</v>
      </c>
      <c r="BV24" s="18" t="s">
        <v>26</v>
      </c>
      <c r="BW24" s="18">
        <v>1.9699999999999999E-2</v>
      </c>
      <c r="BX24" s="18" t="s">
        <v>26</v>
      </c>
      <c r="BY24" s="18">
        <v>3.4099999999999998E-2</v>
      </c>
      <c r="BZ24" s="18">
        <v>7.7600000000000002E-2</v>
      </c>
      <c r="CA24" s="18" t="s">
        <v>25</v>
      </c>
      <c r="CB24" s="18" t="s">
        <v>26</v>
      </c>
      <c r="CC24" s="18" t="s">
        <v>25</v>
      </c>
      <c r="CD24" s="18" t="s">
        <v>25</v>
      </c>
      <c r="CE24" s="18" t="s">
        <v>25</v>
      </c>
      <c r="CF24" s="18" t="s">
        <v>25</v>
      </c>
      <c r="CG24" s="18" t="s">
        <v>26</v>
      </c>
      <c r="CH24" s="18" t="s">
        <v>26</v>
      </c>
      <c r="CI24" s="18" t="s">
        <v>26</v>
      </c>
      <c r="CJ24" s="18" t="s">
        <v>25</v>
      </c>
      <c r="CK24" s="18" t="s">
        <v>26</v>
      </c>
      <c r="CL24" s="18" t="s">
        <v>26</v>
      </c>
      <c r="CM24" s="18" t="s">
        <v>26</v>
      </c>
      <c r="CN24" s="18" t="s">
        <v>26</v>
      </c>
      <c r="CO24" s="18" t="s">
        <v>26</v>
      </c>
      <c r="CP24" s="18" t="s">
        <v>26</v>
      </c>
      <c r="CQ24" s="18" t="s">
        <v>26</v>
      </c>
      <c r="CR24" s="18" t="s">
        <v>26</v>
      </c>
      <c r="CS24" s="18" t="s">
        <v>26</v>
      </c>
      <c r="CT24" s="18" t="s">
        <v>26</v>
      </c>
      <c r="CU24" s="18" t="s">
        <v>26</v>
      </c>
      <c r="CV24" s="18" t="s">
        <v>26</v>
      </c>
      <c r="CW24" s="18" t="s">
        <v>25</v>
      </c>
      <c r="CX24" s="18" t="s">
        <v>26</v>
      </c>
      <c r="CY24" s="18" t="s">
        <v>26</v>
      </c>
      <c r="CZ24" s="18" t="s">
        <v>25</v>
      </c>
      <c r="DA24" s="18" t="s">
        <v>25</v>
      </c>
      <c r="DB24" s="18" t="s">
        <v>26</v>
      </c>
      <c r="DC24" s="18" t="s">
        <v>25</v>
      </c>
      <c r="DD24" s="18" t="s">
        <v>25</v>
      </c>
      <c r="DE24" s="18" t="s">
        <v>25</v>
      </c>
      <c r="DF24" s="18" t="s">
        <v>26</v>
      </c>
      <c r="DG24" s="18" t="s">
        <v>25</v>
      </c>
      <c r="DH24" s="18" t="s">
        <v>26</v>
      </c>
      <c r="DI24" s="18" t="s">
        <v>25</v>
      </c>
      <c r="DJ24" s="18" t="s">
        <v>25</v>
      </c>
      <c r="DK24" s="18" t="s">
        <v>26</v>
      </c>
      <c r="DL24" s="18" t="s">
        <v>26</v>
      </c>
      <c r="DM24" s="18" t="s">
        <v>26</v>
      </c>
      <c r="DN24" s="18" t="s">
        <v>25</v>
      </c>
      <c r="DO24" s="18" t="s">
        <v>25</v>
      </c>
      <c r="DP24" s="18" t="s">
        <v>25</v>
      </c>
      <c r="DQ24" s="18" t="s">
        <v>25</v>
      </c>
      <c r="DR24" s="18" t="s">
        <v>25</v>
      </c>
      <c r="DS24" s="18" t="s">
        <v>25</v>
      </c>
      <c r="DT24" s="18" t="s">
        <v>25</v>
      </c>
      <c r="DU24" s="18" t="s">
        <v>25</v>
      </c>
      <c r="DV24" s="18" t="s">
        <v>25</v>
      </c>
      <c r="DW24" s="18" t="s">
        <v>25</v>
      </c>
      <c r="DX24" s="18" t="s">
        <v>25</v>
      </c>
      <c r="DY24" s="18" t="s">
        <v>25</v>
      </c>
      <c r="DZ24" s="18" t="s">
        <v>25</v>
      </c>
      <c r="EA24" s="18" t="s">
        <v>25</v>
      </c>
      <c r="EB24" s="18" t="s">
        <v>25</v>
      </c>
      <c r="EC24" s="18" t="s">
        <v>25</v>
      </c>
      <c r="ED24" s="18" t="s">
        <v>25</v>
      </c>
      <c r="EE24" s="18" t="s">
        <v>25</v>
      </c>
      <c r="EF24" s="18" t="s">
        <v>25</v>
      </c>
      <c r="EG24" s="18" t="s">
        <v>25</v>
      </c>
      <c r="EH24" s="18" t="s">
        <v>25</v>
      </c>
      <c r="EI24" s="18" t="s">
        <v>25</v>
      </c>
      <c r="EJ24" s="18" t="s">
        <v>25</v>
      </c>
      <c r="EK24" s="18" t="s">
        <v>25</v>
      </c>
      <c r="EL24" s="18" t="s">
        <v>25</v>
      </c>
      <c r="EM24" s="18" t="s">
        <v>25</v>
      </c>
      <c r="EN24" s="18" t="s">
        <v>25</v>
      </c>
      <c r="EO24" s="18" t="s">
        <v>25</v>
      </c>
      <c r="EP24" s="18" t="s">
        <v>25</v>
      </c>
      <c r="EQ24" s="18" t="s">
        <v>25</v>
      </c>
      <c r="ER24" s="18" t="s">
        <v>25</v>
      </c>
      <c r="ES24" s="18" t="s">
        <v>25</v>
      </c>
      <c r="ET24" s="18" t="s">
        <v>25</v>
      </c>
      <c r="EU24" s="18" t="s">
        <v>25</v>
      </c>
      <c r="EV24" s="18" t="s">
        <v>26</v>
      </c>
      <c r="EW24" s="18" t="s">
        <v>25</v>
      </c>
      <c r="EX24" s="18" t="s">
        <v>25</v>
      </c>
      <c r="EY24" s="18" t="s">
        <v>25</v>
      </c>
      <c r="EZ24" s="18" t="s">
        <v>25</v>
      </c>
      <c r="FA24" s="18" t="s">
        <v>25</v>
      </c>
      <c r="FB24" s="18" t="s">
        <v>25</v>
      </c>
      <c r="FC24" s="18" t="s">
        <v>25</v>
      </c>
      <c r="FD24" s="18" t="s">
        <v>25</v>
      </c>
      <c r="FE24" s="18" t="s">
        <v>25</v>
      </c>
      <c r="FF24" s="18" t="s">
        <v>25</v>
      </c>
      <c r="FG24" s="18" t="s">
        <v>25</v>
      </c>
      <c r="FH24" s="18" t="s">
        <v>25</v>
      </c>
      <c r="FI24" s="18" t="s">
        <v>25</v>
      </c>
      <c r="FJ24" s="18" t="s">
        <v>25</v>
      </c>
      <c r="FK24" s="18" t="s">
        <v>25</v>
      </c>
      <c r="FL24" s="18" t="s">
        <v>25</v>
      </c>
      <c r="FM24" s="18" t="s">
        <v>25</v>
      </c>
      <c r="FN24" s="18" t="s">
        <v>25</v>
      </c>
      <c r="FO24" s="18" t="s">
        <v>25</v>
      </c>
      <c r="FP24" s="18" t="s">
        <v>25</v>
      </c>
      <c r="FQ24" s="18" t="s">
        <v>25</v>
      </c>
      <c r="FR24" s="18" t="s">
        <v>25</v>
      </c>
      <c r="FS24" s="18" t="s">
        <v>25</v>
      </c>
      <c r="FT24" s="18" t="s">
        <v>25</v>
      </c>
      <c r="FU24" s="18" t="s">
        <v>25</v>
      </c>
      <c r="FV24" s="18" t="s">
        <v>25</v>
      </c>
      <c r="FW24" s="18" t="s">
        <v>25</v>
      </c>
      <c r="FX24" s="18" t="s">
        <v>25</v>
      </c>
      <c r="FY24" s="18" t="s">
        <v>25</v>
      </c>
      <c r="FZ24" s="17" t="s">
        <v>25</v>
      </c>
      <c r="GA24" s="13" t="s">
        <v>25</v>
      </c>
      <c r="GB24" s="13" t="s">
        <v>25</v>
      </c>
      <c r="GC24" s="13" t="s">
        <v>25</v>
      </c>
      <c r="GD24" s="13" t="s">
        <v>25</v>
      </c>
      <c r="GE24" s="13" t="s">
        <v>26</v>
      </c>
      <c r="GF24" s="13" t="s">
        <v>25</v>
      </c>
      <c r="GG24" s="18">
        <v>4.1599999999999998E-2</v>
      </c>
      <c r="GH24" s="17" t="s">
        <v>25</v>
      </c>
      <c r="GI24" s="17" t="s">
        <v>25</v>
      </c>
      <c r="GJ24" s="13">
        <v>3.3399999999999999E-2</v>
      </c>
      <c r="GK24" s="13">
        <v>3.2000000000000001E-2</v>
      </c>
      <c r="GL24" s="18">
        <v>3.1800000000000002E-2</v>
      </c>
      <c r="GM24" s="18">
        <v>3.2099999999999997E-2</v>
      </c>
      <c r="GN24" s="17" t="s">
        <v>25</v>
      </c>
      <c r="GO24" s="13">
        <v>3.3000000000000002E-2</v>
      </c>
      <c r="GP24" s="13">
        <v>3.2000000000000001E-2</v>
      </c>
      <c r="GQ24" s="13">
        <v>3.1899999999999998E-2</v>
      </c>
      <c r="GR24" s="16">
        <v>3.3300000000000003E-2</v>
      </c>
      <c r="GS24" s="15">
        <v>3.4200000000000001E-2</v>
      </c>
      <c r="GT24" s="14">
        <v>3.5700000000000003E-2</v>
      </c>
      <c r="GU24" s="13">
        <v>3.73E-2</v>
      </c>
      <c r="GV24" s="16">
        <v>3.78E-2</v>
      </c>
      <c r="GW24" s="15">
        <v>3.7499999999999999E-2</v>
      </c>
      <c r="GX24" s="14">
        <v>3.7900000000000003E-2</v>
      </c>
      <c r="GY24" s="13">
        <v>3.6600000000000001E-2</v>
      </c>
      <c r="GZ24" s="13">
        <v>3.6700000000000003E-2</v>
      </c>
      <c r="HA24" s="16">
        <v>3.4799999999999998E-2</v>
      </c>
      <c r="HB24" s="16">
        <v>4.5499999999999999E-2</v>
      </c>
      <c r="HC24" s="16">
        <v>5.0099999999999999E-2</v>
      </c>
      <c r="HD24" s="16">
        <v>5.6099999999999997E-2</v>
      </c>
      <c r="HE24" s="16">
        <v>5.7200000000000001E-2</v>
      </c>
      <c r="HF24" s="16">
        <v>6.3100000000000003E-2</v>
      </c>
      <c r="HG24" s="16">
        <v>7.1900000000000006E-2</v>
      </c>
      <c r="HH24" s="16">
        <v>8.0799999999999997E-2</v>
      </c>
      <c r="HI24" s="16">
        <v>8.5999999999999993E-2</v>
      </c>
      <c r="HJ24" s="16">
        <v>9.0200000000000002E-2</v>
      </c>
      <c r="HK24" s="16">
        <v>8.6099999999999996E-2</v>
      </c>
      <c r="HL24" s="14">
        <v>8.7300000000000003E-2</v>
      </c>
      <c r="HM24" s="14">
        <v>9.11E-2</v>
      </c>
      <c r="HN24" s="14">
        <v>9.0499999999999997E-2</v>
      </c>
      <c r="HO24" s="14">
        <v>8.6599999999999996E-2</v>
      </c>
      <c r="HP24" s="14">
        <v>8.3500000000000005E-2</v>
      </c>
      <c r="HQ24" s="14">
        <v>8.3299999999999999E-2</v>
      </c>
      <c r="HR24" s="14">
        <v>8.3299999999999999E-2</v>
      </c>
      <c r="HS24" s="14">
        <v>8.3099999999999993E-2</v>
      </c>
      <c r="HT24" s="14">
        <v>8.3000000000000004E-2</v>
      </c>
      <c r="HU24" s="14">
        <v>8.1799999999999998E-2</v>
      </c>
      <c r="HV24" s="14">
        <v>7.9500000000000001E-2</v>
      </c>
      <c r="HW24" s="14">
        <v>7.8200000000000006E-2</v>
      </c>
      <c r="HX24" s="14">
        <v>7.6799999999999993E-2</v>
      </c>
      <c r="HY24" s="13">
        <v>7.6399999999999996E-2</v>
      </c>
      <c r="HZ24" s="16">
        <v>7.6300000000000007E-2</v>
      </c>
      <c r="IA24" s="14">
        <v>7.5999999999999998E-2</v>
      </c>
      <c r="IB24" s="14">
        <v>7.5200000000000003E-2</v>
      </c>
      <c r="IC24" s="13">
        <v>7.51E-2</v>
      </c>
      <c r="ID24" s="13">
        <v>7.6100000000000001E-2</v>
      </c>
      <c r="IE24" s="16">
        <v>7.7499999999999999E-2</v>
      </c>
      <c r="IF24" s="15">
        <v>7.8700000000000006E-2</v>
      </c>
      <c r="IG24" s="15">
        <v>7.8700000000000006E-2</v>
      </c>
      <c r="IH24" s="15">
        <v>7.7600000000000002E-2</v>
      </c>
      <c r="II24" s="16">
        <v>7.51E-2</v>
      </c>
      <c r="IJ24" s="16">
        <v>7.2900000000000006E-2</v>
      </c>
      <c r="IK24" s="16">
        <v>7.2499999999999995E-2</v>
      </c>
      <c r="IL24" s="16">
        <v>7.3700000000000002E-2</v>
      </c>
      <c r="IM24" s="15">
        <v>7.3300000000000004E-2</v>
      </c>
      <c r="IN24" s="14">
        <v>7.46E-2</v>
      </c>
      <c r="IO24" s="13">
        <v>7.4700000000000003E-2</v>
      </c>
      <c r="IP24" s="16">
        <v>7.3300000000000004E-2</v>
      </c>
      <c r="IQ24" s="16">
        <v>6.9699999999999998E-2</v>
      </c>
      <c r="IR24" s="15">
        <v>6.6400000000000001E-2</v>
      </c>
      <c r="IS24" s="15">
        <v>6.5600000000000006E-2</v>
      </c>
      <c r="IT24" s="15">
        <v>6.5699999999999995E-2</v>
      </c>
      <c r="IU24" s="15">
        <v>6.5100000000000005E-2</v>
      </c>
      <c r="IV24" s="16">
        <v>6.4399999999999999E-2</v>
      </c>
      <c r="IW24" s="16">
        <v>6.3700000000000007E-2</v>
      </c>
      <c r="IX24" s="16">
        <v>6.2399999999999997E-2</v>
      </c>
      <c r="IY24" s="14">
        <v>6.0900000000000003E-2</v>
      </c>
      <c r="IZ24" s="13">
        <v>5.9400000000000001E-2</v>
      </c>
      <c r="JA24" s="13">
        <v>5.8900000000000001E-2</v>
      </c>
      <c r="JB24" s="13">
        <v>5.9499999999999997E-2</v>
      </c>
      <c r="JC24" s="15">
        <v>6.0600000000000001E-2</v>
      </c>
      <c r="JD24" s="14">
        <v>6.13E-2</v>
      </c>
      <c r="JE24" s="13">
        <v>6.0999999999999999E-2</v>
      </c>
    </row>
    <row r="25" spans="1:265" ht="12.75" customHeight="1">
      <c r="A25" s="60"/>
      <c r="B25" s="60"/>
      <c r="C25" s="60"/>
      <c r="D25" s="21" t="s">
        <v>19</v>
      </c>
      <c r="E25" s="20">
        <v>23</v>
      </c>
      <c r="F25" s="19" t="s">
        <v>60</v>
      </c>
      <c r="G25" s="27">
        <v>8.4099999999999994E-2</v>
      </c>
      <c r="H25" s="27">
        <v>8.2299999999999998E-2</v>
      </c>
      <c r="I25" s="27">
        <v>8.1000000000000003E-2</v>
      </c>
      <c r="J25" s="27">
        <v>7.3700000000000002E-2</v>
      </c>
      <c r="K25" s="27">
        <v>7.4999999999999997E-2</v>
      </c>
      <c r="L25" s="27">
        <v>6.6900000000000001E-2</v>
      </c>
      <c r="M25" s="27">
        <v>6.3100000000000003E-2</v>
      </c>
      <c r="N25" s="27">
        <v>6.3899999999999998E-2</v>
      </c>
      <c r="O25" s="27">
        <v>6.1499999999999999E-2</v>
      </c>
      <c r="P25" s="27">
        <v>6.2600000000000003E-2</v>
      </c>
      <c r="Q25" s="27">
        <v>6.1499999999999999E-2</v>
      </c>
      <c r="R25" s="27">
        <v>6.2399999999999997E-2</v>
      </c>
      <c r="S25" s="27">
        <v>6.08E-2</v>
      </c>
      <c r="T25" s="27">
        <v>5.8700000000000002E-2</v>
      </c>
      <c r="U25" s="27">
        <v>5.7299999999999997E-2</v>
      </c>
      <c r="V25" s="27">
        <v>5.6800000000000003E-2</v>
      </c>
      <c r="W25" s="27">
        <v>5.6300000000000003E-2</v>
      </c>
      <c r="X25" s="27">
        <v>5.6599999999999998E-2</v>
      </c>
      <c r="Y25" s="27">
        <v>5.74E-2</v>
      </c>
      <c r="Z25" s="27">
        <v>5.7299999999999997E-2</v>
      </c>
      <c r="AA25" s="27">
        <v>5.74E-2</v>
      </c>
      <c r="AB25" s="27">
        <v>5.7200000000000001E-2</v>
      </c>
      <c r="AC25" s="27">
        <v>5.7000000000000002E-2</v>
      </c>
      <c r="AD25" s="27">
        <v>5.6399999999999999E-2</v>
      </c>
      <c r="AE25" s="27">
        <v>5.6000000000000001E-2</v>
      </c>
      <c r="AF25" s="27">
        <v>5.57E-2</v>
      </c>
      <c r="AG25" s="27">
        <v>5.6099999999999997E-2</v>
      </c>
      <c r="AH25" s="27">
        <v>5.7599999999999998E-2</v>
      </c>
      <c r="AI25" s="27">
        <v>5.74E-2</v>
      </c>
      <c r="AJ25" s="27">
        <v>5.8700000000000002E-2</v>
      </c>
      <c r="AK25" s="27">
        <v>6.0499999999999998E-2</v>
      </c>
      <c r="AL25" s="27">
        <v>6.3E-2</v>
      </c>
      <c r="AM25" s="27">
        <v>6.4100000000000004E-2</v>
      </c>
      <c r="AN25" s="27">
        <v>6.5699999999999995E-2</v>
      </c>
      <c r="AO25" s="27">
        <v>6.7100000000000007E-2</v>
      </c>
      <c r="AP25" s="27">
        <v>6.93E-2</v>
      </c>
      <c r="AQ25" s="27">
        <v>7.0199999999999999E-2</v>
      </c>
      <c r="AR25" s="27">
        <v>7.1900000000000006E-2</v>
      </c>
      <c r="AS25" s="27">
        <v>7.4300000000000005E-2</v>
      </c>
      <c r="AT25" s="27">
        <v>7.7100000000000002E-2</v>
      </c>
      <c r="AU25" s="27">
        <v>7.7799999999999994E-2</v>
      </c>
      <c r="AV25" s="27">
        <v>8.0100000000000005E-2</v>
      </c>
      <c r="AW25" s="27">
        <v>8.2900000000000001E-2</v>
      </c>
      <c r="AX25" s="27">
        <v>8.4400000000000003E-2</v>
      </c>
      <c r="AY25" s="27">
        <v>8.5800000000000001E-2</v>
      </c>
      <c r="AZ25" s="27">
        <v>8.6599999999999996E-2</v>
      </c>
      <c r="BA25" s="27">
        <v>8.8099999999999998E-2</v>
      </c>
      <c r="BB25" s="27">
        <v>8.7300000000000003E-2</v>
      </c>
      <c r="BC25" s="27">
        <v>8.5400000000000004E-2</v>
      </c>
      <c r="BD25" s="27">
        <v>7.4200000000000002E-2</v>
      </c>
      <c r="BE25" s="27">
        <v>7.0800000000000002E-2</v>
      </c>
      <c r="BF25" s="27">
        <v>6.9800000000000001E-2</v>
      </c>
      <c r="BG25" s="27">
        <v>7.1499999999999994E-2</v>
      </c>
      <c r="BH25" s="27">
        <v>7.2400000000000006E-2</v>
      </c>
      <c r="BI25" s="27">
        <v>7.2800000000000004E-2</v>
      </c>
      <c r="BJ25" s="27">
        <v>7.3400000000000007E-2</v>
      </c>
      <c r="BK25" s="27">
        <v>7.4999999999999997E-2</v>
      </c>
      <c r="BL25" s="27">
        <v>7.2300000000000003E-2</v>
      </c>
      <c r="BM25" s="27">
        <v>7.0499999999999993E-2</v>
      </c>
      <c r="BN25" s="27">
        <v>7.0000000000000007E-2</v>
      </c>
      <c r="BO25" s="27">
        <v>7.0000000000000007E-2</v>
      </c>
      <c r="BP25" s="27">
        <v>6.9599999999999995E-2</v>
      </c>
      <c r="BQ25" s="27">
        <v>7.0699999999999999E-2</v>
      </c>
      <c r="BR25" s="27">
        <v>6.9199999999999998E-2</v>
      </c>
      <c r="BS25" s="27">
        <v>6.6699999999999995E-2</v>
      </c>
      <c r="BT25" s="27">
        <v>6.6799999999999998E-2</v>
      </c>
      <c r="BU25" s="27">
        <v>6.5799999999999997E-2</v>
      </c>
      <c r="BV25" s="27">
        <v>6.3700000000000007E-2</v>
      </c>
      <c r="BW25" s="27">
        <v>6.3399999999999998E-2</v>
      </c>
      <c r="BX25" s="27">
        <v>6.3E-2</v>
      </c>
      <c r="BY25" s="27">
        <v>6.1800000000000001E-2</v>
      </c>
      <c r="BZ25" s="27">
        <v>6.1400000000000003E-2</v>
      </c>
      <c r="CA25" s="27">
        <v>6.0900000000000003E-2</v>
      </c>
      <c r="CB25" s="27">
        <v>6.2399999999999997E-2</v>
      </c>
      <c r="CC25" s="27">
        <v>6.4000000000000001E-2</v>
      </c>
      <c r="CD25" s="27">
        <v>6.4000000000000001E-2</v>
      </c>
      <c r="CE25" s="27">
        <v>6.5000000000000002E-2</v>
      </c>
      <c r="CF25" s="27">
        <v>6.6100000000000006E-2</v>
      </c>
      <c r="CG25" s="27">
        <v>6.7699999999999996E-2</v>
      </c>
      <c r="CH25" s="27">
        <v>6.7199999999999996E-2</v>
      </c>
      <c r="CI25" s="27">
        <v>6.7500000000000004E-2</v>
      </c>
      <c r="CJ25" s="27">
        <v>6.83E-2</v>
      </c>
      <c r="CK25" s="27">
        <v>6.8699999999999997E-2</v>
      </c>
      <c r="CL25" s="27">
        <v>6.9599999999999995E-2</v>
      </c>
      <c r="CM25" s="27">
        <v>6.9599999999999995E-2</v>
      </c>
      <c r="CN25" s="27">
        <v>7.0400000000000004E-2</v>
      </c>
      <c r="CO25" s="27">
        <v>6.9800000000000001E-2</v>
      </c>
      <c r="CP25" s="27">
        <v>6.9699999999999998E-2</v>
      </c>
      <c r="CQ25" s="27">
        <v>6.9400000000000003E-2</v>
      </c>
      <c r="CR25" s="27">
        <v>7.1099999999999997E-2</v>
      </c>
      <c r="CS25" s="27">
        <v>7.1199999999999999E-2</v>
      </c>
      <c r="CT25" s="27">
        <v>7.1300000000000002E-2</v>
      </c>
      <c r="CU25" s="27">
        <v>7.0900000000000005E-2</v>
      </c>
      <c r="CV25" s="27">
        <v>6.9699999999999998E-2</v>
      </c>
      <c r="CW25" s="27">
        <v>6.8500000000000005E-2</v>
      </c>
      <c r="CX25" s="27">
        <v>6.6199999999999995E-2</v>
      </c>
      <c r="CY25" s="27">
        <v>6.3500000000000001E-2</v>
      </c>
      <c r="CZ25" s="27">
        <v>6.2E-2</v>
      </c>
      <c r="DA25" s="27">
        <v>6.0100000000000001E-2</v>
      </c>
      <c r="DB25" s="27">
        <v>5.74E-2</v>
      </c>
      <c r="DC25" s="27">
        <v>5.45E-2</v>
      </c>
      <c r="DD25" s="27">
        <v>5.1700000000000003E-2</v>
      </c>
      <c r="DE25" s="27">
        <v>5.0799999999999998E-2</v>
      </c>
      <c r="DF25" s="27">
        <v>5.1200000000000002E-2</v>
      </c>
      <c r="DG25" s="27">
        <v>5.1799999999999999E-2</v>
      </c>
      <c r="DH25" s="27">
        <v>5.1400000000000001E-2</v>
      </c>
      <c r="DI25" s="27">
        <v>5.1400000000000001E-2</v>
      </c>
      <c r="DJ25" s="27">
        <v>5.16E-2</v>
      </c>
      <c r="DK25" s="27">
        <v>5.21E-2</v>
      </c>
      <c r="DL25" s="27">
        <v>5.21E-2</v>
      </c>
      <c r="DM25" s="27">
        <v>5.2600000000000001E-2</v>
      </c>
      <c r="DN25" s="27">
        <v>5.2600000000000001E-2</v>
      </c>
      <c r="DO25" s="27">
        <v>5.2900000000000003E-2</v>
      </c>
      <c r="DP25" s="27">
        <v>5.2999999999999999E-2</v>
      </c>
      <c r="DQ25" s="27">
        <v>5.3100000000000001E-2</v>
      </c>
      <c r="DR25" s="27">
        <v>5.2900000000000003E-2</v>
      </c>
      <c r="DS25" s="27">
        <v>5.1799999999999999E-2</v>
      </c>
      <c r="DT25" s="27">
        <v>4.8399999999999999E-2</v>
      </c>
      <c r="DU25" s="27">
        <v>4.7E-2</v>
      </c>
      <c r="DV25" s="27">
        <v>4.7E-2</v>
      </c>
      <c r="DW25" s="27">
        <v>4.7E-2</v>
      </c>
      <c r="DX25" s="27">
        <v>4.5600000000000002E-2</v>
      </c>
      <c r="DY25" s="27">
        <v>4.3700000000000003E-2</v>
      </c>
      <c r="DZ25" s="27">
        <v>4.24E-2</v>
      </c>
      <c r="EA25" s="27">
        <v>4.2700000000000002E-2</v>
      </c>
      <c r="EB25" s="27">
        <v>4.2900000000000001E-2</v>
      </c>
      <c r="EC25" s="27">
        <v>4.36E-2</v>
      </c>
      <c r="ED25" s="27">
        <v>4.36E-2</v>
      </c>
      <c r="EE25" s="27">
        <v>4.3900000000000002E-2</v>
      </c>
      <c r="EF25" s="27">
        <v>4.3999999999999997E-2</v>
      </c>
      <c r="EG25" s="27">
        <v>4.36E-2</v>
      </c>
      <c r="EH25" s="27">
        <v>4.3999999999999997E-2</v>
      </c>
      <c r="EI25" s="27">
        <v>4.4400000000000002E-2</v>
      </c>
      <c r="EJ25" s="27">
        <v>4.41E-2</v>
      </c>
      <c r="EK25" s="27">
        <v>4.41E-2</v>
      </c>
      <c r="EL25" s="27">
        <v>4.53E-2</v>
      </c>
      <c r="EM25" s="27">
        <v>4.48E-2</v>
      </c>
      <c r="EN25" s="27">
        <v>4.4699999999999997E-2</v>
      </c>
      <c r="EO25" s="27">
        <v>4.4900000000000002E-2</v>
      </c>
      <c r="EP25" s="27">
        <v>4.48E-2</v>
      </c>
      <c r="EQ25" s="27">
        <v>4.4200000000000003E-2</v>
      </c>
      <c r="ER25" s="27">
        <v>4.4499999999999998E-2</v>
      </c>
      <c r="ES25" s="27">
        <v>4.3900000000000002E-2</v>
      </c>
      <c r="ET25" s="27">
        <v>4.41E-2</v>
      </c>
      <c r="EU25" s="27">
        <v>4.4400000000000002E-2</v>
      </c>
      <c r="EV25" s="27">
        <v>4.4600000000000001E-2</v>
      </c>
      <c r="EW25" s="27">
        <v>4.3900000000000002E-2</v>
      </c>
      <c r="EX25" s="27">
        <v>4.3700000000000003E-2</v>
      </c>
      <c r="EY25" s="27">
        <v>4.3999999999999997E-2</v>
      </c>
      <c r="EZ25" s="27">
        <v>4.3299999999999998E-2</v>
      </c>
      <c r="FA25" s="27">
        <v>4.3700000000000003E-2</v>
      </c>
      <c r="FB25" s="27">
        <v>4.3900000000000002E-2</v>
      </c>
      <c r="FC25" s="27">
        <v>4.4299999999999999E-2</v>
      </c>
      <c r="FD25" s="27">
        <v>4.41E-2</v>
      </c>
      <c r="FE25" s="27">
        <v>4.3900000000000002E-2</v>
      </c>
      <c r="FF25" s="27">
        <v>4.3900000000000002E-2</v>
      </c>
      <c r="FG25" s="27">
        <v>4.3700000000000003E-2</v>
      </c>
      <c r="FH25" s="27">
        <v>4.4200000000000003E-2</v>
      </c>
      <c r="FI25" s="27">
        <v>4.3299999999999998E-2</v>
      </c>
      <c r="FJ25" s="27">
        <v>4.3400000000000001E-2</v>
      </c>
      <c r="FK25" s="27">
        <v>4.3299999999999998E-2</v>
      </c>
      <c r="FL25" s="27">
        <v>4.3299999999999998E-2</v>
      </c>
      <c r="FM25" s="27">
        <v>4.3200000000000002E-2</v>
      </c>
      <c r="FN25" s="27">
        <v>4.3200000000000002E-2</v>
      </c>
      <c r="FO25" s="27">
        <v>4.3700000000000003E-2</v>
      </c>
      <c r="FP25" s="27">
        <v>4.3900000000000002E-2</v>
      </c>
      <c r="FQ25" s="27">
        <v>4.3900000000000002E-2</v>
      </c>
      <c r="FR25" s="27">
        <v>4.36E-2</v>
      </c>
      <c r="FS25" s="27">
        <v>4.3499999999999997E-2</v>
      </c>
      <c r="FT25" s="27">
        <v>4.3499999999999997E-2</v>
      </c>
      <c r="FU25" s="27">
        <v>4.2799999999999998E-2</v>
      </c>
      <c r="FV25" s="27">
        <v>4.2900000000000001E-2</v>
      </c>
      <c r="FW25" s="27">
        <v>4.2700000000000002E-2</v>
      </c>
      <c r="FX25" s="27">
        <v>4.2500000000000003E-2</v>
      </c>
      <c r="FY25" s="27">
        <v>4.2999999999999997E-2</v>
      </c>
      <c r="FZ25" s="26">
        <v>4.2900000000000001E-2</v>
      </c>
      <c r="GA25" s="22">
        <v>4.3700000000000003E-2</v>
      </c>
      <c r="GB25" s="22">
        <v>4.3700000000000003E-2</v>
      </c>
      <c r="GC25" s="22">
        <v>4.3499999999999997E-2</v>
      </c>
      <c r="GD25" s="22">
        <v>4.3400000000000001E-2</v>
      </c>
      <c r="GE25" s="22">
        <v>4.3499999999999997E-2</v>
      </c>
      <c r="GF25" s="22">
        <v>4.3299999999999998E-2</v>
      </c>
      <c r="GG25" s="27">
        <v>4.2599999999999999E-2</v>
      </c>
      <c r="GH25" s="26">
        <v>3.9300000000000002E-2</v>
      </c>
      <c r="GI25" s="26">
        <v>3.6600000000000001E-2</v>
      </c>
      <c r="GJ25" s="22">
        <v>3.27E-2</v>
      </c>
      <c r="GK25" s="22">
        <v>3.2300000000000002E-2</v>
      </c>
      <c r="GL25" s="27">
        <v>3.04E-2</v>
      </c>
      <c r="GM25" s="27">
        <v>0.03</v>
      </c>
      <c r="GN25" s="26">
        <v>2.8899999999999999E-2</v>
      </c>
      <c r="GO25" s="22">
        <v>2.8899999999999999E-2</v>
      </c>
      <c r="GP25" s="22">
        <v>2.8299999999999999E-2</v>
      </c>
      <c r="GQ25" s="22">
        <v>2.8299999999999999E-2</v>
      </c>
      <c r="GR25" s="25">
        <v>2.8199999999999999E-2</v>
      </c>
      <c r="GS25" s="24">
        <v>2.8299999999999999E-2</v>
      </c>
      <c r="GT25" s="23">
        <v>2.8199999999999999E-2</v>
      </c>
      <c r="GU25" s="22">
        <v>2.8500000000000001E-2</v>
      </c>
      <c r="GV25" s="25">
        <v>2.87E-2</v>
      </c>
      <c r="GW25" s="24">
        <v>2.8400000000000002E-2</v>
      </c>
      <c r="GX25" s="23">
        <v>2.8500000000000001E-2</v>
      </c>
      <c r="GY25" s="22">
        <v>2.8799999999999999E-2</v>
      </c>
      <c r="GZ25" s="22">
        <v>3.04E-2</v>
      </c>
      <c r="HA25" s="25">
        <v>3.5099999999999999E-2</v>
      </c>
      <c r="HB25" s="25">
        <v>4.5499999999999999E-2</v>
      </c>
      <c r="HC25" s="25">
        <v>5.0799999999999998E-2</v>
      </c>
      <c r="HD25" s="25">
        <v>5.5199999999999999E-2</v>
      </c>
      <c r="HE25" s="25">
        <v>5.96E-2</v>
      </c>
      <c r="HF25" s="25">
        <v>6.5600000000000006E-2</v>
      </c>
      <c r="HG25" s="25">
        <v>7.2099999999999997E-2</v>
      </c>
      <c r="HH25" s="25">
        <v>8.1799999999999998E-2</v>
      </c>
      <c r="HI25" s="25">
        <v>8.77E-2</v>
      </c>
      <c r="HJ25" s="25">
        <v>9.1700000000000004E-2</v>
      </c>
      <c r="HK25" s="25">
        <v>8.9599999999999999E-2</v>
      </c>
      <c r="HL25" s="23">
        <v>9.0399999999999994E-2</v>
      </c>
      <c r="HM25" s="23">
        <v>9.3200000000000005E-2</v>
      </c>
      <c r="HN25" s="23">
        <v>9.2100000000000001E-2</v>
      </c>
      <c r="HO25" s="23">
        <v>8.8900000000000007E-2</v>
      </c>
      <c r="HP25" s="23">
        <v>8.6699999999999999E-2</v>
      </c>
      <c r="HQ25" s="23">
        <v>8.6800000000000002E-2</v>
      </c>
      <c r="HR25" s="23">
        <v>8.6900000000000005E-2</v>
      </c>
      <c r="HS25" s="23">
        <v>8.6300000000000002E-2</v>
      </c>
      <c r="HT25" s="23">
        <v>8.5900000000000004E-2</v>
      </c>
      <c r="HU25" s="23">
        <v>8.4599999999999995E-2</v>
      </c>
      <c r="HV25" s="23">
        <v>8.1600000000000006E-2</v>
      </c>
      <c r="HW25" s="23">
        <v>7.9500000000000001E-2</v>
      </c>
      <c r="HX25" s="23">
        <v>7.7399999999999997E-2</v>
      </c>
      <c r="HY25" s="22">
        <v>7.6799999999999993E-2</v>
      </c>
      <c r="HZ25" s="25">
        <v>7.6700000000000004E-2</v>
      </c>
      <c r="IA25" s="23">
        <v>7.6499999999999999E-2</v>
      </c>
      <c r="IB25" s="23">
        <v>7.5899999999999995E-2</v>
      </c>
      <c r="IC25" s="22">
        <v>7.6300000000000007E-2</v>
      </c>
      <c r="ID25" s="22">
        <v>7.7200000000000005E-2</v>
      </c>
      <c r="IE25" s="25">
        <v>7.8299999999999995E-2</v>
      </c>
      <c r="IF25" s="24">
        <v>7.9299999999999995E-2</v>
      </c>
      <c r="IG25" s="24">
        <v>7.9100000000000004E-2</v>
      </c>
      <c r="IH25" s="24">
        <v>7.8299999999999995E-2</v>
      </c>
      <c r="II25" s="25">
        <v>7.6100000000000001E-2</v>
      </c>
      <c r="IJ25" s="25">
        <v>7.3999999999999996E-2</v>
      </c>
      <c r="IK25" s="25">
        <v>7.3499999999999996E-2</v>
      </c>
      <c r="IL25" s="25">
        <v>7.4499999999999997E-2</v>
      </c>
      <c r="IM25" s="24">
        <v>7.4200000000000002E-2</v>
      </c>
      <c r="IN25" s="23">
        <v>7.5399999999999995E-2</v>
      </c>
      <c r="IO25" s="22">
        <v>7.5700000000000003E-2</v>
      </c>
      <c r="IP25" s="25">
        <v>7.4300000000000005E-2</v>
      </c>
      <c r="IQ25" s="25">
        <v>7.0900000000000005E-2</v>
      </c>
      <c r="IR25" s="24">
        <v>6.8000000000000005E-2</v>
      </c>
      <c r="IS25" s="24">
        <v>6.6900000000000001E-2</v>
      </c>
      <c r="IT25" s="24">
        <v>6.6799999999999998E-2</v>
      </c>
      <c r="IU25" s="24">
        <v>6.6000000000000003E-2</v>
      </c>
      <c r="IV25" s="25">
        <v>6.4899999999999999E-2</v>
      </c>
      <c r="IW25" s="25">
        <v>6.3899999999999998E-2</v>
      </c>
      <c r="IX25" s="25">
        <v>6.2300000000000001E-2</v>
      </c>
      <c r="IY25" s="23">
        <v>6.0400000000000002E-2</v>
      </c>
      <c r="IZ25" s="22">
        <v>5.9200000000000003E-2</v>
      </c>
      <c r="JA25" s="22">
        <v>5.8500000000000003E-2</v>
      </c>
      <c r="JB25" s="22">
        <v>5.8799999999999998E-2</v>
      </c>
      <c r="JC25" s="24">
        <v>5.9700000000000003E-2</v>
      </c>
      <c r="JD25" s="23">
        <v>6.0199999999999997E-2</v>
      </c>
      <c r="JE25" s="22">
        <v>0.06</v>
      </c>
    </row>
    <row r="26" spans="1:265" ht="12.75" customHeight="1">
      <c r="A26" s="60"/>
      <c r="B26" s="60"/>
      <c r="C26" s="60"/>
      <c r="D26" s="28" t="s">
        <v>59</v>
      </c>
      <c r="E26" s="20">
        <v>24</v>
      </c>
      <c r="F26" s="19" t="s">
        <v>58</v>
      </c>
      <c r="G26" s="18">
        <v>9.2100000000000001E-2</v>
      </c>
      <c r="H26" s="18">
        <v>8.9599999999999999E-2</v>
      </c>
      <c r="I26" s="18">
        <v>8.7400000000000005E-2</v>
      </c>
      <c r="J26" s="18">
        <v>8.1199999999999994E-2</v>
      </c>
      <c r="K26" s="18">
        <v>0.08</v>
      </c>
      <c r="L26" s="18">
        <v>7.4800000000000005E-2</v>
      </c>
      <c r="M26" s="18">
        <v>6.9400000000000003E-2</v>
      </c>
      <c r="N26" s="18">
        <v>6.8900000000000003E-2</v>
      </c>
      <c r="O26" s="18">
        <v>6.4299999999999996E-2</v>
      </c>
      <c r="P26" s="18">
        <v>6.8000000000000005E-2</v>
      </c>
      <c r="Q26" s="18">
        <v>6.8199999999999997E-2</v>
      </c>
      <c r="R26" s="18">
        <v>7.0000000000000007E-2</v>
      </c>
      <c r="S26" s="18">
        <v>6.6199999999999995E-2</v>
      </c>
      <c r="T26" s="18">
        <v>6.5600000000000006E-2</v>
      </c>
      <c r="U26" s="18">
        <v>6.6400000000000001E-2</v>
      </c>
      <c r="V26" s="18">
        <v>6.2799999999999995E-2</v>
      </c>
      <c r="W26" s="18">
        <v>6.2600000000000003E-2</v>
      </c>
      <c r="X26" s="18">
        <v>6.3100000000000003E-2</v>
      </c>
      <c r="Y26" s="18">
        <v>6.3700000000000007E-2</v>
      </c>
      <c r="Z26" s="18">
        <v>6.3899999999999998E-2</v>
      </c>
      <c r="AA26" s="18">
        <v>6.3500000000000001E-2</v>
      </c>
      <c r="AB26" s="18">
        <v>6.3200000000000006E-2</v>
      </c>
      <c r="AC26" s="18">
        <v>6.2600000000000003E-2</v>
      </c>
      <c r="AD26" s="18">
        <v>6.25E-2</v>
      </c>
      <c r="AE26" s="18">
        <v>6.1199999999999997E-2</v>
      </c>
      <c r="AF26" s="18">
        <v>6.0699999999999997E-2</v>
      </c>
      <c r="AG26" s="18">
        <v>6.1499999999999999E-2</v>
      </c>
      <c r="AH26" s="18">
        <v>6.1699999999999998E-2</v>
      </c>
      <c r="AI26" s="18">
        <v>6.3200000000000006E-2</v>
      </c>
      <c r="AJ26" s="18">
        <v>6.5600000000000006E-2</v>
      </c>
      <c r="AK26" s="18">
        <v>6.6000000000000003E-2</v>
      </c>
      <c r="AL26" s="18">
        <v>6.8400000000000002E-2</v>
      </c>
      <c r="AM26" s="18">
        <v>6.9000000000000006E-2</v>
      </c>
      <c r="AN26" s="18">
        <v>7.0999999999999994E-2</v>
      </c>
      <c r="AO26" s="18">
        <v>7.17E-2</v>
      </c>
      <c r="AP26" s="18">
        <v>7.4800000000000005E-2</v>
      </c>
      <c r="AQ26" s="18">
        <v>7.4300000000000005E-2</v>
      </c>
      <c r="AR26" s="18">
        <v>7.6100000000000001E-2</v>
      </c>
      <c r="AS26" s="18">
        <v>7.8200000000000006E-2</v>
      </c>
      <c r="AT26" s="18">
        <v>8.0500000000000002E-2</v>
      </c>
      <c r="AU26" s="18">
        <v>8.1000000000000003E-2</v>
      </c>
      <c r="AV26" s="18">
        <v>8.6199999999999999E-2</v>
      </c>
      <c r="AW26" s="18">
        <v>8.7499999999999994E-2</v>
      </c>
      <c r="AX26" s="18">
        <v>8.9800000000000005E-2</v>
      </c>
      <c r="AY26" s="18">
        <v>9.0399999999999994E-2</v>
      </c>
      <c r="AZ26" s="18">
        <v>9.0399999999999994E-2</v>
      </c>
      <c r="BA26" s="18">
        <v>9.2200000000000004E-2</v>
      </c>
      <c r="BB26" s="18">
        <v>9.2799999999999994E-2</v>
      </c>
      <c r="BC26" s="18">
        <v>9.0999999999999998E-2</v>
      </c>
      <c r="BD26" s="18">
        <v>8.1500000000000003E-2</v>
      </c>
      <c r="BE26" s="18">
        <v>7.7299999999999994E-2</v>
      </c>
      <c r="BF26" s="18">
        <v>7.51E-2</v>
      </c>
      <c r="BG26" s="18">
        <v>7.6600000000000001E-2</v>
      </c>
      <c r="BH26" s="18">
        <v>7.8399999999999997E-2</v>
      </c>
      <c r="BI26" s="18">
        <v>7.8399999999999997E-2</v>
      </c>
      <c r="BJ26" s="18">
        <v>8.1299999999999997E-2</v>
      </c>
      <c r="BK26" s="18">
        <v>8.09E-2</v>
      </c>
      <c r="BL26" s="18">
        <v>8.09E-2</v>
      </c>
      <c r="BM26" s="18">
        <v>7.9100000000000004E-2</v>
      </c>
      <c r="BN26" s="18">
        <v>7.8100000000000003E-2</v>
      </c>
      <c r="BO26" s="18">
        <v>7.8100000000000003E-2</v>
      </c>
      <c r="BP26" s="18">
        <v>7.7399999999999997E-2</v>
      </c>
      <c r="BQ26" s="18">
        <v>7.6899999999999996E-2</v>
      </c>
      <c r="BR26" s="18">
        <v>7.4300000000000005E-2</v>
      </c>
      <c r="BS26" s="18">
        <v>7.22E-2</v>
      </c>
      <c r="BT26" s="18">
        <v>7.1599999999999997E-2</v>
      </c>
      <c r="BU26" s="18">
        <v>6.9800000000000001E-2</v>
      </c>
      <c r="BV26" s="18">
        <v>6.9000000000000006E-2</v>
      </c>
      <c r="BW26" s="18">
        <v>6.8199999999999997E-2</v>
      </c>
      <c r="BX26" s="18">
        <v>6.6100000000000006E-2</v>
      </c>
      <c r="BY26" s="18">
        <v>6.6299999999999998E-2</v>
      </c>
      <c r="BZ26" s="18">
        <v>6.5699999999999995E-2</v>
      </c>
      <c r="CA26" s="18">
        <v>6.5600000000000006E-2</v>
      </c>
      <c r="CB26" s="18">
        <v>6.7199999999999996E-2</v>
      </c>
      <c r="CC26" s="18">
        <v>6.8000000000000005E-2</v>
      </c>
      <c r="CD26" s="18">
        <v>6.8500000000000005E-2</v>
      </c>
      <c r="CE26" s="18">
        <v>6.8599999999999994E-2</v>
      </c>
      <c r="CF26" s="18">
        <v>6.9699999999999998E-2</v>
      </c>
      <c r="CG26" s="18">
        <v>7.0900000000000005E-2</v>
      </c>
      <c r="CH26" s="18">
        <v>7.1400000000000005E-2</v>
      </c>
      <c r="CI26" s="18">
        <v>7.1999999999999995E-2</v>
      </c>
      <c r="CJ26" s="18">
        <v>7.2400000000000006E-2</v>
      </c>
      <c r="CK26" s="18">
        <v>7.2599999999999998E-2</v>
      </c>
      <c r="CL26" s="18">
        <v>7.3999999999999996E-2</v>
      </c>
      <c r="CM26" s="18">
        <v>7.4300000000000005E-2</v>
      </c>
      <c r="CN26" s="18">
        <v>7.4800000000000005E-2</v>
      </c>
      <c r="CO26" s="18">
        <v>7.4399999999999994E-2</v>
      </c>
      <c r="CP26" s="18">
        <v>7.4300000000000005E-2</v>
      </c>
      <c r="CQ26" s="18">
        <v>7.3899999999999993E-2</v>
      </c>
      <c r="CR26" s="18">
        <v>7.4999999999999997E-2</v>
      </c>
      <c r="CS26" s="18">
        <v>7.4899999999999994E-2</v>
      </c>
      <c r="CT26" s="18">
        <v>7.51E-2</v>
      </c>
      <c r="CU26" s="18">
        <v>7.4300000000000005E-2</v>
      </c>
      <c r="CV26" s="18">
        <v>7.3200000000000001E-2</v>
      </c>
      <c r="CW26" s="18">
        <v>7.2300000000000003E-2</v>
      </c>
      <c r="CX26" s="18">
        <v>7.0599999999999996E-2</v>
      </c>
      <c r="CY26" s="18">
        <v>6.7500000000000004E-2</v>
      </c>
      <c r="CZ26" s="18">
        <v>6.5500000000000003E-2</v>
      </c>
      <c r="DA26" s="18">
        <v>6.3100000000000003E-2</v>
      </c>
      <c r="DB26" s="18">
        <v>6.08E-2</v>
      </c>
      <c r="DC26" s="18">
        <v>5.8099999999999999E-2</v>
      </c>
      <c r="DD26" s="18">
        <v>5.5399999999999998E-2</v>
      </c>
      <c r="DE26" s="18">
        <v>5.5199999999999999E-2</v>
      </c>
      <c r="DF26" s="18">
        <v>5.5599999999999997E-2</v>
      </c>
      <c r="DG26" s="18">
        <v>5.57E-2</v>
      </c>
      <c r="DH26" s="18">
        <v>5.5399999999999998E-2</v>
      </c>
      <c r="DI26" s="18">
        <v>5.5599999999999997E-2</v>
      </c>
      <c r="DJ26" s="18">
        <v>5.57E-2</v>
      </c>
      <c r="DK26" s="18">
        <v>5.6099999999999997E-2</v>
      </c>
      <c r="DL26" s="18">
        <v>5.5599999999999997E-2</v>
      </c>
      <c r="DM26" s="18">
        <v>5.62E-2</v>
      </c>
      <c r="DN26" s="18">
        <v>5.6300000000000003E-2</v>
      </c>
      <c r="DO26" s="18">
        <v>5.6599999999999998E-2</v>
      </c>
      <c r="DP26" s="18">
        <v>5.7200000000000001E-2</v>
      </c>
      <c r="DQ26" s="18">
        <v>5.6800000000000003E-2</v>
      </c>
      <c r="DR26" s="18">
        <v>5.67E-2</v>
      </c>
      <c r="DS26" s="18">
        <v>5.5500000000000001E-2</v>
      </c>
      <c r="DT26" s="18">
        <v>5.16E-2</v>
      </c>
      <c r="DU26" s="18">
        <v>5.04E-2</v>
      </c>
      <c r="DV26" s="18">
        <v>4.9700000000000001E-2</v>
      </c>
      <c r="DW26" s="18">
        <v>4.9700000000000001E-2</v>
      </c>
      <c r="DX26" s="18">
        <v>4.8399999999999999E-2</v>
      </c>
      <c r="DY26" s="18">
        <v>4.6800000000000001E-2</v>
      </c>
      <c r="DZ26" s="18">
        <v>4.4999999999999998E-2</v>
      </c>
      <c r="EA26" s="18">
        <v>4.53E-2</v>
      </c>
      <c r="EB26" s="18">
        <v>4.5499999999999999E-2</v>
      </c>
      <c r="EC26" s="18">
        <v>4.6199999999999998E-2</v>
      </c>
      <c r="ED26" s="18">
        <v>4.6100000000000002E-2</v>
      </c>
      <c r="EE26" s="18">
        <v>4.6100000000000002E-2</v>
      </c>
      <c r="EF26" s="18">
        <v>4.6300000000000001E-2</v>
      </c>
      <c r="EG26" s="18">
        <v>4.58E-2</v>
      </c>
      <c r="EH26" s="18">
        <v>4.5999999999999999E-2</v>
      </c>
      <c r="EI26" s="18">
        <v>4.6100000000000002E-2</v>
      </c>
      <c r="EJ26" s="18">
        <v>4.58E-2</v>
      </c>
      <c r="EK26" s="18">
        <v>4.5600000000000002E-2</v>
      </c>
      <c r="EL26" s="18">
        <v>4.7100000000000003E-2</v>
      </c>
      <c r="EM26" s="18">
        <v>4.65E-2</v>
      </c>
      <c r="EN26" s="18">
        <v>4.6300000000000001E-2</v>
      </c>
      <c r="EO26" s="18">
        <v>4.7E-2</v>
      </c>
      <c r="EP26" s="18">
        <v>4.6899999999999997E-2</v>
      </c>
      <c r="EQ26" s="18">
        <v>4.5900000000000003E-2</v>
      </c>
      <c r="ER26" s="18">
        <v>4.6800000000000001E-2</v>
      </c>
      <c r="ES26" s="18">
        <v>4.6100000000000002E-2</v>
      </c>
      <c r="ET26" s="18">
        <v>4.5999999999999999E-2</v>
      </c>
      <c r="EU26" s="18">
        <v>4.6300000000000001E-2</v>
      </c>
      <c r="EV26" s="18">
        <v>4.65E-2</v>
      </c>
      <c r="EW26" s="18">
        <v>4.5699999999999998E-2</v>
      </c>
      <c r="EX26" s="18">
        <v>4.5999999999999999E-2</v>
      </c>
      <c r="EY26" s="18">
        <v>4.6199999999999998E-2</v>
      </c>
      <c r="EZ26" s="18">
        <v>4.5400000000000003E-2</v>
      </c>
      <c r="FA26" s="18">
        <v>4.5900000000000003E-2</v>
      </c>
      <c r="FB26" s="18">
        <v>4.5699999999999998E-2</v>
      </c>
      <c r="FC26" s="18">
        <v>4.6300000000000001E-2</v>
      </c>
      <c r="FD26" s="18">
        <v>4.6199999999999998E-2</v>
      </c>
      <c r="FE26" s="18">
        <v>4.6199999999999998E-2</v>
      </c>
      <c r="FF26" s="18">
        <v>4.6199999999999998E-2</v>
      </c>
      <c r="FG26" s="18">
        <v>4.6199999999999998E-2</v>
      </c>
      <c r="FH26" s="18">
        <v>4.6300000000000001E-2</v>
      </c>
      <c r="FI26" s="18">
        <v>4.58E-2</v>
      </c>
      <c r="FJ26" s="18">
        <v>4.6199999999999998E-2</v>
      </c>
      <c r="FK26" s="18">
        <v>4.5699999999999998E-2</v>
      </c>
      <c r="FL26" s="18">
        <v>4.5600000000000002E-2</v>
      </c>
      <c r="FM26" s="18">
        <v>4.5699999999999998E-2</v>
      </c>
      <c r="FN26" s="18">
        <v>4.5699999999999998E-2</v>
      </c>
      <c r="FO26" s="18">
        <v>4.6100000000000002E-2</v>
      </c>
      <c r="FP26" s="18">
        <v>4.6300000000000001E-2</v>
      </c>
      <c r="FQ26" s="18">
        <v>4.6199999999999998E-2</v>
      </c>
      <c r="FR26" s="18">
        <v>4.6199999999999998E-2</v>
      </c>
      <c r="FS26" s="18">
        <v>4.6199999999999998E-2</v>
      </c>
      <c r="FT26" s="18">
        <v>4.6399999999999997E-2</v>
      </c>
      <c r="FU26" s="18">
        <v>4.6600000000000003E-2</v>
      </c>
      <c r="FV26" s="18">
        <v>4.65E-2</v>
      </c>
      <c r="FW26" s="18">
        <v>4.65E-2</v>
      </c>
      <c r="FX26" s="18">
        <v>4.6399999999999997E-2</v>
      </c>
      <c r="FY26" s="18">
        <v>4.6800000000000001E-2</v>
      </c>
      <c r="FZ26" s="17">
        <v>4.7E-2</v>
      </c>
      <c r="GA26" s="13">
        <v>4.8099999999999997E-2</v>
      </c>
      <c r="GB26" s="13">
        <v>4.82E-2</v>
      </c>
      <c r="GC26" s="13">
        <v>4.7800000000000002E-2</v>
      </c>
      <c r="GD26" s="13">
        <v>4.8000000000000001E-2</v>
      </c>
      <c r="GE26" s="13">
        <v>4.7899999999999998E-2</v>
      </c>
      <c r="GF26" s="13">
        <v>4.7500000000000001E-2</v>
      </c>
      <c r="GG26" s="18">
        <v>4.7100000000000003E-2</v>
      </c>
      <c r="GH26" s="18">
        <v>4.3799999999999999E-2</v>
      </c>
      <c r="GI26" s="18">
        <v>4.1099999999999998E-2</v>
      </c>
      <c r="GJ26" s="13">
        <v>3.73E-2</v>
      </c>
      <c r="GK26" s="13">
        <v>3.6499999999999998E-2</v>
      </c>
      <c r="GL26" s="18">
        <v>3.49E-2</v>
      </c>
      <c r="GM26" s="18">
        <v>3.4599999999999999E-2</v>
      </c>
      <c r="GN26" s="17">
        <v>3.32E-2</v>
      </c>
      <c r="GO26" s="13">
        <v>3.3500000000000002E-2</v>
      </c>
      <c r="GP26" s="13">
        <v>3.1899999999999998E-2</v>
      </c>
      <c r="GQ26" s="13">
        <v>3.2300000000000002E-2</v>
      </c>
      <c r="GR26" s="16">
        <v>3.1699999999999999E-2</v>
      </c>
      <c r="GS26" s="15">
        <v>3.2199999999999999E-2</v>
      </c>
      <c r="GT26" s="14">
        <v>3.2500000000000001E-2</v>
      </c>
      <c r="GU26" s="13">
        <v>3.2399999999999998E-2</v>
      </c>
      <c r="GV26" s="16">
        <v>3.27E-2</v>
      </c>
      <c r="GW26" s="15">
        <v>3.2500000000000001E-2</v>
      </c>
      <c r="GX26" s="14">
        <v>3.3099999999999997E-2</v>
      </c>
      <c r="GY26" s="13">
        <v>3.2800000000000003E-2</v>
      </c>
      <c r="GZ26" s="13">
        <v>3.4099999999999998E-2</v>
      </c>
      <c r="HA26" s="16">
        <v>3.8899999999999997E-2</v>
      </c>
      <c r="HB26" s="16">
        <v>4.9599999999999998E-2</v>
      </c>
      <c r="HC26" s="16">
        <v>5.3400000000000003E-2</v>
      </c>
      <c r="HD26" s="16">
        <v>5.8700000000000002E-2</v>
      </c>
      <c r="HE26" s="16">
        <v>6.2E-2</v>
      </c>
      <c r="HF26" s="16">
        <v>6.8000000000000005E-2</v>
      </c>
      <c r="HG26" s="16">
        <v>7.6200000000000004E-2</v>
      </c>
      <c r="HH26" s="16">
        <v>8.6199999999999999E-2</v>
      </c>
      <c r="HI26" s="16">
        <v>9.2700000000000005E-2</v>
      </c>
      <c r="HJ26" s="16">
        <v>9.6100000000000005E-2</v>
      </c>
      <c r="HK26" s="16">
        <v>9.4500000000000001E-2</v>
      </c>
      <c r="HL26" s="14">
        <v>9.6299999999999997E-2</v>
      </c>
      <c r="HM26" s="14">
        <v>9.9599999999999994E-2</v>
      </c>
      <c r="HN26" s="14">
        <v>9.9699999999999997E-2</v>
      </c>
      <c r="HO26" s="14">
        <v>9.6500000000000002E-2</v>
      </c>
      <c r="HP26" s="14">
        <v>9.4200000000000006E-2</v>
      </c>
      <c r="HQ26" s="14">
        <v>9.4299999999999995E-2</v>
      </c>
      <c r="HR26" s="14">
        <v>9.5200000000000007E-2</v>
      </c>
      <c r="HS26" s="14">
        <v>9.4E-2</v>
      </c>
      <c r="HT26" s="14">
        <v>9.4E-2</v>
      </c>
      <c r="HU26" s="14">
        <v>9.3100000000000002E-2</v>
      </c>
      <c r="HV26" s="14">
        <v>8.8400000000000006E-2</v>
      </c>
      <c r="HW26" s="14">
        <v>8.5500000000000007E-2</v>
      </c>
      <c r="HX26" s="14">
        <v>8.43E-2</v>
      </c>
      <c r="HY26" s="13">
        <v>8.3900000000000002E-2</v>
      </c>
      <c r="HZ26" s="16">
        <v>8.3199999999999996E-2</v>
      </c>
      <c r="IA26" s="14">
        <v>8.2100000000000006E-2</v>
      </c>
      <c r="IB26" s="14">
        <v>8.1699999999999995E-2</v>
      </c>
      <c r="IC26" s="13">
        <v>8.2500000000000004E-2</v>
      </c>
      <c r="ID26" s="13">
        <v>8.3699999999999997E-2</v>
      </c>
      <c r="IE26" s="16">
        <v>8.4500000000000006E-2</v>
      </c>
      <c r="IF26" s="15">
        <v>8.5699999999999998E-2</v>
      </c>
      <c r="IG26" s="15">
        <v>8.5900000000000004E-2</v>
      </c>
      <c r="IH26" s="15">
        <v>8.5599999999999996E-2</v>
      </c>
      <c r="II26" s="16">
        <v>8.3900000000000002E-2</v>
      </c>
      <c r="IJ26" s="16">
        <v>8.2199999999999995E-2</v>
      </c>
      <c r="IK26" s="16">
        <v>8.2100000000000006E-2</v>
      </c>
      <c r="IL26" s="16">
        <v>8.3699999999999997E-2</v>
      </c>
      <c r="IM26" s="15">
        <v>8.3299999999999999E-2</v>
      </c>
      <c r="IN26" s="14">
        <v>8.4199999999999997E-2</v>
      </c>
      <c r="IO26" s="13">
        <v>8.3599999999999994E-2</v>
      </c>
      <c r="IP26" s="16">
        <v>8.2500000000000004E-2</v>
      </c>
      <c r="IQ26" s="16">
        <v>7.8899999999999998E-2</v>
      </c>
      <c r="IR26" s="15">
        <v>7.5800000000000006E-2</v>
      </c>
      <c r="IS26" s="15">
        <v>7.4999999999999997E-2</v>
      </c>
      <c r="IT26" s="15">
        <v>7.46E-2</v>
      </c>
      <c r="IU26" s="15">
        <v>7.3200000000000001E-2</v>
      </c>
      <c r="IV26" s="16">
        <v>7.2300000000000003E-2</v>
      </c>
      <c r="IW26" s="16">
        <v>6.9000000000000006E-2</v>
      </c>
      <c r="IX26" s="16">
        <v>6.6500000000000004E-2</v>
      </c>
      <c r="IY26" s="14">
        <v>6.4000000000000001E-2</v>
      </c>
      <c r="IZ26" s="13">
        <v>6.2300000000000001E-2</v>
      </c>
      <c r="JA26" s="13">
        <v>6.13E-2</v>
      </c>
      <c r="JB26" s="13">
        <v>6.1800000000000001E-2</v>
      </c>
      <c r="JC26" s="15">
        <v>6.2600000000000003E-2</v>
      </c>
      <c r="JD26" s="14">
        <v>6.3200000000000006E-2</v>
      </c>
      <c r="JE26" s="13">
        <v>6.2799999999999995E-2</v>
      </c>
    </row>
    <row r="27" spans="1:265" ht="12.75" customHeight="1">
      <c r="A27" s="60"/>
      <c r="B27" s="60"/>
      <c r="C27" s="59" t="s">
        <v>57</v>
      </c>
      <c r="D27" s="29" t="s">
        <v>32</v>
      </c>
      <c r="E27" s="20">
        <v>25</v>
      </c>
      <c r="F27" s="19" t="s">
        <v>56</v>
      </c>
      <c r="G27" s="27">
        <v>9.8699999999999996E-2</v>
      </c>
      <c r="H27" s="27">
        <v>0.1</v>
      </c>
      <c r="I27" s="27">
        <v>9.7299999999999998E-2</v>
      </c>
      <c r="J27" s="27">
        <v>9.6199999999999994E-2</v>
      </c>
      <c r="K27" s="27">
        <v>9.2999999999999999E-2</v>
      </c>
      <c r="L27" s="27">
        <v>8.6499999999999994E-2</v>
      </c>
      <c r="M27" s="27">
        <v>8.2699999999999996E-2</v>
      </c>
      <c r="N27" s="27">
        <v>8.0799999999999997E-2</v>
      </c>
      <c r="O27" s="27">
        <v>7.6700000000000004E-2</v>
      </c>
      <c r="P27" s="27">
        <v>7.7499999999999999E-2</v>
      </c>
      <c r="Q27" s="27">
        <v>7.8399999999999997E-2</v>
      </c>
      <c r="R27" s="27">
        <v>7.8700000000000006E-2</v>
      </c>
      <c r="S27" s="27">
        <v>7.4999999999999997E-2</v>
      </c>
      <c r="T27" s="27">
        <v>7.3999999999999996E-2</v>
      </c>
      <c r="U27" s="27">
        <v>7.1199999999999999E-2</v>
      </c>
      <c r="V27" s="27">
        <v>7.0699999999999999E-2</v>
      </c>
      <c r="W27" s="27">
        <v>6.6900000000000001E-2</v>
      </c>
      <c r="X27" s="27">
        <v>6.59E-2</v>
      </c>
      <c r="Y27" s="27">
        <v>6.7000000000000004E-2</v>
      </c>
      <c r="Z27" s="27">
        <v>6.7599999999999993E-2</v>
      </c>
      <c r="AA27" s="27">
        <v>6.9500000000000006E-2</v>
      </c>
      <c r="AB27" s="27">
        <v>6.8900000000000003E-2</v>
      </c>
      <c r="AC27" s="27">
        <v>6.83E-2</v>
      </c>
      <c r="AD27" s="27">
        <v>6.6900000000000001E-2</v>
      </c>
      <c r="AE27" s="27">
        <v>6.9699999999999998E-2</v>
      </c>
      <c r="AF27" s="27">
        <v>6.9900000000000004E-2</v>
      </c>
      <c r="AG27" s="27">
        <v>7.1400000000000005E-2</v>
      </c>
      <c r="AH27" s="27">
        <v>7.2900000000000006E-2</v>
      </c>
      <c r="AI27" s="27">
        <v>7.1400000000000005E-2</v>
      </c>
      <c r="AJ27" s="27">
        <v>7.2499999999999995E-2</v>
      </c>
      <c r="AK27" s="27">
        <v>7.4499999999999997E-2</v>
      </c>
      <c r="AL27" s="27">
        <v>7.4700000000000003E-2</v>
      </c>
      <c r="AM27" s="27">
        <v>7.4099999999999999E-2</v>
      </c>
      <c r="AN27" s="27">
        <v>7.7799999999999994E-2</v>
      </c>
      <c r="AO27" s="27">
        <v>7.6899999999999996E-2</v>
      </c>
      <c r="AP27" s="27">
        <v>7.8E-2</v>
      </c>
      <c r="AQ27" s="27">
        <v>8.0699999999999994E-2</v>
      </c>
      <c r="AR27" s="27">
        <v>8.3799999999999999E-2</v>
      </c>
      <c r="AS27" s="27">
        <v>8.5800000000000001E-2</v>
      </c>
      <c r="AT27" s="27">
        <v>9.2399999999999996E-2</v>
      </c>
      <c r="AU27" s="27">
        <v>9.1300000000000006E-2</v>
      </c>
      <c r="AV27" s="27">
        <v>9.3799999999999994E-2</v>
      </c>
      <c r="AW27" s="27">
        <v>9.1200000000000003E-2</v>
      </c>
      <c r="AX27" s="27">
        <v>9.4700000000000006E-2</v>
      </c>
      <c r="AY27" s="27">
        <v>9.2399999999999996E-2</v>
      </c>
      <c r="AZ27" s="27">
        <v>9.5200000000000007E-2</v>
      </c>
      <c r="BA27" s="27">
        <v>0.1018</v>
      </c>
      <c r="BB27" s="27">
        <v>9.8799999999999999E-2</v>
      </c>
      <c r="BC27" s="27">
        <v>9.2100000000000001E-2</v>
      </c>
      <c r="BD27" s="27">
        <v>9.06E-2</v>
      </c>
      <c r="BE27" s="27">
        <v>8.2900000000000001E-2</v>
      </c>
      <c r="BF27" s="27">
        <v>8.2900000000000001E-2</v>
      </c>
      <c r="BG27" s="27">
        <v>8.3799999999999999E-2</v>
      </c>
      <c r="BH27" s="27">
        <v>8.8800000000000004E-2</v>
      </c>
      <c r="BI27" s="27">
        <v>8.5099999999999995E-2</v>
      </c>
      <c r="BJ27" s="27">
        <v>8.5199999999999998E-2</v>
      </c>
      <c r="BK27" s="27">
        <v>8.77E-2</v>
      </c>
      <c r="BL27" s="27">
        <v>8.5900000000000004E-2</v>
      </c>
      <c r="BM27" s="27">
        <v>8.3099999999999993E-2</v>
      </c>
      <c r="BN27" s="27">
        <v>8.5300000000000001E-2</v>
      </c>
      <c r="BO27" s="27">
        <v>8.3900000000000002E-2</v>
      </c>
      <c r="BP27" s="27">
        <v>8.7099999999999997E-2</v>
      </c>
      <c r="BQ27" s="27">
        <v>8.6699999999999999E-2</v>
      </c>
      <c r="BR27" s="27">
        <v>8.43E-2</v>
      </c>
      <c r="BS27" s="27">
        <v>8.5199999999999998E-2</v>
      </c>
      <c r="BT27" s="27">
        <v>8.2600000000000007E-2</v>
      </c>
      <c r="BU27" s="27">
        <v>8.48E-2</v>
      </c>
      <c r="BV27" s="27">
        <v>8.1100000000000005E-2</v>
      </c>
      <c r="BW27" s="27">
        <v>8.3799999999999999E-2</v>
      </c>
      <c r="BX27" s="27">
        <v>8.2600000000000007E-2</v>
      </c>
      <c r="BY27" s="27">
        <v>8.0399999999999999E-2</v>
      </c>
      <c r="BZ27" s="27">
        <v>8.1100000000000005E-2</v>
      </c>
      <c r="CA27" s="27">
        <v>8.4099999999999994E-2</v>
      </c>
      <c r="CB27" s="27">
        <v>8.7099999999999997E-2</v>
      </c>
      <c r="CC27" s="27">
        <v>8.4599999999999995E-2</v>
      </c>
      <c r="CD27" s="27">
        <v>8.3400000000000002E-2</v>
      </c>
      <c r="CE27" s="27">
        <v>8.2799999999999999E-2</v>
      </c>
      <c r="CF27" s="27">
        <v>8.4599999999999995E-2</v>
      </c>
      <c r="CG27" s="27">
        <v>8.6400000000000005E-2</v>
      </c>
      <c r="CH27" s="27">
        <v>8.4900000000000003E-2</v>
      </c>
      <c r="CI27" s="27">
        <v>8.9700000000000002E-2</v>
      </c>
      <c r="CJ27" s="27">
        <v>9.1999999999999998E-2</v>
      </c>
      <c r="CK27" s="27">
        <v>8.9499999999999996E-2</v>
      </c>
      <c r="CL27" s="27">
        <v>9.1300000000000006E-2</v>
      </c>
      <c r="CM27" s="27">
        <v>9.1800000000000007E-2</v>
      </c>
      <c r="CN27" s="27">
        <v>8.4599999999999995E-2</v>
      </c>
      <c r="CO27" s="27">
        <v>9.06E-2</v>
      </c>
      <c r="CP27" s="27">
        <v>8.8800000000000004E-2</v>
      </c>
      <c r="CQ27" s="27">
        <v>9.0399999999999994E-2</v>
      </c>
      <c r="CR27" s="27">
        <v>9.0800000000000006E-2</v>
      </c>
      <c r="CS27" s="27">
        <v>9.2100000000000001E-2</v>
      </c>
      <c r="CT27" s="27">
        <v>9.2100000000000001E-2</v>
      </c>
      <c r="CU27" s="27">
        <v>9.5200000000000007E-2</v>
      </c>
      <c r="CV27" s="27">
        <v>9.0700000000000003E-2</v>
      </c>
      <c r="CW27" s="27">
        <v>8.77E-2</v>
      </c>
      <c r="CX27" s="27">
        <v>8.1799999999999998E-2</v>
      </c>
      <c r="CY27" s="27">
        <v>8.5699999999999998E-2</v>
      </c>
      <c r="CZ27" s="27">
        <v>8.09E-2</v>
      </c>
      <c r="DA27" s="27">
        <v>7.7899999999999997E-2</v>
      </c>
      <c r="DB27" s="27">
        <v>7.4700000000000003E-2</v>
      </c>
      <c r="DC27" s="27">
        <v>7.2099999999999997E-2</v>
      </c>
      <c r="DD27" s="27">
        <v>6.5600000000000006E-2</v>
      </c>
      <c r="DE27" s="27">
        <v>7.2499999999999995E-2</v>
      </c>
      <c r="DF27" s="27">
        <v>6.8900000000000003E-2</v>
      </c>
      <c r="DG27" s="27">
        <v>6.7799999999999999E-2</v>
      </c>
      <c r="DH27" s="27">
        <v>6.6699999999999995E-2</v>
      </c>
      <c r="DI27" s="27">
        <v>6.2700000000000006E-2</v>
      </c>
      <c r="DJ27" s="27">
        <v>6.5799999999999997E-2</v>
      </c>
      <c r="DK27" s="27">
        <v>6.9800000000000001E-2</v>
      </c>
      <c r="DL27" s="27">
        <v>6.7000000000000004E-2</v>
      </c>
      <c r="DM27" s="27">
        <v>6.8099999999999994E-2</v>
      </c>
      <c r="DN27" s="27">
        <v>6.5799999999999997E-2</v>
      </c>
      <c r="DO27" s="27">
        <v>6.3399999999999998E-2</v>
      </c>
      <c r="DP27" s="27">
        <v>6.5100000000000005E-2</v>
      </c>
      <c r="DQ27" s="27">
        <v>6.5500000000000003E-2</v>
      </c>
      <c r="DR27" s="27">
        <v>6.6400000000000001E-2</v>
      </c>
      <c r="DS27" s="27">
        <v>6.2100000000000002E-2</v>
      </c>
      <c r="DT27" s="27">
        <v>6.0499999999999998E-2</v>
      </c>
      <c r="DU27" s="27">
        <v>5.79E-2</v>
      </c>
      <c r="DV27" s="27">
        <v>6.0400000000000002E-2</v>
      </c>
      <c r="DW27" s="27">
        <v>6.1499999999999999E-2</v>
      </c>
      <c r="DX27" s="27">
        <v>6.1899999999999997E-2</v>
      </c>
      <c r="DY27" s="27">
        <v>5.7099999999999998E-2</v>
      </c>
      <c r="DZ27" s="27">
        <v>5.4699999999999999E-2</v>
      </c>
      <c r="EA27" s="27">
        <v>5.4699999999999999E-2</v>
      </c>
      <c r="EB27" s="27">
        <v>5.16E-2</v>
      </c>
      <c r="EC27" s="27">
        <v>5.3699999999999998E-2</v>
      </c>
      <c r="ED27" s="27">
        <v>5.1999999999999998E-2</v>
      </c>
      <c r="EE27" s="27">
        <v>5.3600000000000002E-2</v>
      </c>
      <c r="EF27" s="27">
        <v>5.4600000000000003E-2</v>
      </c>
      <c r="EG27" s="27">
        <v>5.4899999999999997E-2</v>
      </c>
      <c r="EH27" s="27">
        <v>5.2600000000000001E-2</v>
      </c>
      <c r="EI27" s="27">
        <v>5.2200000000000003E-2</v>
      </c>
      <c r="EJ27" s="27">
        <v>5.6899999999999999E-2</v>
      </c>
      <c r="EK27" s="27">
        <v>5.6000000000000001E-2</v>
      </c>
      <c r="EL27" s="27">
        <v>5.33E-2</v>
      </c>
      <c r="EM27" s="27">
        <v>5.7000000000000002E-2</v>
      </c>
      <c r="EN27" s="27">
        <v>5.4399999999999997E-2</v>
      </c>
      <c r="EO27" s="27">
        <v>5.2999999999999999E-2</v>
      </c>
      <c r="EP27" s="27">
        <v>5.3400000000000003E-2</v>
      </c>
      <c r="EQ27" s="27">
        <v>5.6000000000000001E-2</v>
      </c>
      <c r="ER27" s="27">
        <v>5.67E-2</v>
      </c>
      <c r="ES27" s="27">
        <v>5.5300000000000002E-2</v>
      </c>
      <c r="ET27" s="27">
        <v>5.67E-2</v>
      </c>
      <c r="EU27" s="27">
        <v>5.9499999999999997E-2</v>
      </c>
      <c r="EV27" s="27">
        <v>6.2199999999999998E-2</v>
      </c>
      <c r="EW27" s="27">
        <v>5.8599999999999999E-2</v>
      </c>
      <c r="EX27" s="27">
        <v>5.91E-2</v>
      </c>
      <c r="EY27" s="27">
        <v>6.2399999999999997E-2</v>
      </c>
      <c r="EZ27" s="27">
        <v>5.4600000000000003E-2</v>
      </c>
      <c r="FA27" s="27">
        <v>5.79E-2</v>
      </c>
      <c r="FB27" s="27">
        <v>5.79E-2</v>
      </c>
      <c r="FC27" s="27">
        <v>6.3E-2</v>
      </c>
      <c r="FD27" s="27">
        <v>5.4399999999999997E-2</v>
      </c>
      <c r="FE27" s="27">
        <v>5.5899999999999998E-2</v>
      </c>
      <c r="FF27" s="27">
        <v>5.2400000000000002E-2</v>
      </c>
      <c r="FG27" s="27">
        <v>5.45E-2</v>
      </c>
      <c r="FH27" s="27">
        <v>5.7099999999999998E-2</v>
      </c>
      <c r="FI27" s="27">
        <v>5.8700000000000002E-2</v>
      </c>
      <c r="FJ27" s="27">
        <v>5.6300000000000003E-2</v>
      </c>
      <c r="FK27" s="27">
        <v>6.1100000000000002E-2</v>
      </c>
      <c r="FL27" s="27">
        <v>5.4100000000000002E-2</v>
      </c>
      <c r="FM27" s="27">
        <v>6.0299999999999999E-2</v>
      </c>
      <c r="FN27" s="27">
        <v>5.5199999999999999E-2</v>
      </c>
      <c r="FO27" s="27">
        <v>5.5199999999999999E-2</v>
      </c>
      <c r="FP27" s="27">
        <v>5.6399999999999999E-2</v>
      </c>
      <c r="FQ27" s="27">
        <v>5.6800000000000003E-2</v>
      </c>
      <c r="FR27" s="27">
        <v>4.9700000000000001E-2</v>
      </c>
      <c r="FS27" s="27">
        <v>6.1899999999999997E-2</v>
      </c>
      <c r="FT27" s="27">
        <v>6.1499999999999999E-2</v>
      </c>
      <c r="FU27" s="27">
        <v>6.2600000000000003E-2</v>
      </c>
      <c r="FV27" s="27">
        <v>6.13E-2</v>
      </c>
      <c r="FW27" s="27">
        <v>6.0499999999999998E-2</v>
      </c>
      <c r="FX27" s="27">
        <v>5.8200000000000002E-2</v>
      </c>
      <c r="FY27" s="27">
        <v>6.2700000000000006E-2</v>
      </c>
      <c r="FZ27" s="26">
        <v>5.7700000000000001E-2</v>
      </c>
      <c r="GA27" s="22">
        <v>6.0499999999999998E-2</v>
      </c>
      <c r="GB27" s="22">
        <v>5.79E-2</v>
      </c>
      <c r="GC27" s="22">
        <v>5.8500000000000003E-2</v>
      </c>
      <c r="GD27" s="22">
        <v>5.62E-2</v>
      </c>
      <c r="GE27" s="22">
        <v>5.9200000000000003E-2</v>
      </c>
      <c r="GF27" s="22">
        <v>6.3399999999999998E-2</v>
      </c>
      <c r="GG27" s="27">
        <v>5.9299999999999999E-2</v>
      </c>
      <c r="GH27" s="26">
        <v>5.4600000000000003E-2</v>
      </c>
      <c r="GI27" s="26">
        <v>5.0700000000000002E-2</v>
      </c>
      <c r="GJ27" s="22">
        <v>4.87E-2</v>
      </c>
      <c r="GK27" s="22">
        <v>4.58E-2</v>
      </c>
      <c r="GL27" s="27">
        <v>4.1399999999999999E-2</v>
      </c>
      <c r="GM27" s="27">
        <v>4.6300000000000001E-2</v>
      </c>
      <c r="GN27" s="26">
        <v>4.7300000000000002E-2</v>
      </c>
      <c r="GO27" s="22">
        <v>4.8899999999999999E-2</v>
      </c>
      <c r="GP27" s="22">
        <v>4.4900000000000002E-2</v>
      </c>
      <c r="GQ27" s="22">
        <v>4.53E-2</v>
      </c>
      <c r="GR27" s="25">
        <v>4.36E-2</v>
      </c>
      <c r="GS27" s="24">
        <v>4.9000000000000002E-2</v>
      </c>
      <c r="GT27" s="23">
        <v>4.4299999999999999E-2</v>
      </c>
      <c r="GU27" s="22">
        <v>4.1599999999999998E-2</v>
      </c>
      <c r="GV27" s="25">
        <v>4.5199999999999997E-2</v>
      </c>
      <c r="GW27" s="24">
        <v>4.2099999999999999E-2</v>
      </c>
      <c r="GX27" s="23">
        <v>4.48E-2</v>
      </c>
      <c r="GY27" s="22">
        <v>4.3400000000000001E-2</v>
      </c>
      <c r="GZ27" s="22">
        <v>4.2500000000000003E-2</v>
      </c>
      <c r="HA27" s="25">
        <v>5.1999999999999998E-2</v>
      </c>
      <c r="HB27" s="25">
        <v>6.0699999999999997E-2</v>
      </c>
      <c r="HC27" s="25">
        <v>7.2999999999999995E-2</v>
      </c>
      <c r="HD27" s="25">
        <v>8.1500000000000003E-2</v>
      </c>
      <c r="HE27" s="25">
        <v>8.3699999999999997E-2</v>
      </c>
      <c r="HF27" s="25">
        <v>9.8299999999999998E-2</v>
      </c>
      <c r="HG27" s="25">
        <v>0.1065</v>
      </c>
      <c r="HH27" s="25">
        <v>0.11899999999999999</v>
      </c>
      <c r="HI27" s="25">
        <v>0.11650000000000001</v>
      </c>
      <c r="HJ27" s="25">
        <v>0.108</v>
      </c>
      <c r="HK27" s="25">
        <v>0.1137</v>
      </c>
      <c r="HL27" s="23">
        <v>0.1137</v>
      </c>
      <c r="HM27" s="23">
        <v>0.12139999999999999</v>
      </c>
      <c r="HN27" s="23">
        <v>0.1197</v>
      </c>
      <c r="HO27" s="23">
        <v>0.11550000000000001</v>
      </c>
      <c r="HP27" s="23">
        <v>0.1201</v>
      </c>
      <c r="HQ27" s="23">
        <v>0.11509999999999999</v>
      </c>
      <c r="HR27" s="23">
        <v>0.115</v>
      </c>
      <c r="HS27" s="23">
        <v>0.11409999999999999</v>
      </c>
      <c r="HT27" s="23">
        <v>0.1145</v>
      </c>
      <c r="HU27" s="23">
        <v>0.1147</v>
      </c>
      <c r="HV27" s="23">
        <v>0.11360000000000001</v>
      </c>
      <c r="HW27" s="23">
        <v>0.10970000000000001</v>
      </c>
      <c r="HX27" s="23">
        <v>0.1022</v>
      </c>
      <c r="HY27" s="22">
        <v>0.1052</v>
      </c>
      <c r="HZ27" s="25">
        <v>0.1002</v>
      </c>
      <c r="IA27" s="23">
        <v>0.1014</v>
      </c>
      <c r="IB27" s="23">
        <v>0.10489999999999999</v>
      </c>
      <c r="IC27" s="22">
        <v>0.1013</v>
      </c>
      <c r="ID27" s="22">
        <v>0.1053</v>
      </c>
      <c r="IE27" s="25">
        <v>0.1017</v>
      </c>
      <c r="IF27" s="24">
        <v>0.1008</v>
      </c>
      <c r="IG27" s="24">
        <v>9.8199999999999996E-2</v>
      </c>
      <c r="IH27" s="24">
        <v>0.1028</v>
      </c>
      <c r="II27" s="25">
        <v>0.1057</v>
      </c>
      <c r="IJ27" s="25">
        <v>0.106</v>
      </c>
      <c r="IK27" s="25">
        <v>0.10340000000000001</v>
      </c>
      <c r="IL27" s="25">
        <v>0.10290000000000001</v>
      </c>
      <c r="IM27" s="24">
        <v>9.8400000000000001E-2</v>
      </c>
      <c r="IN27" s="23">
        <v>0.1071</v>
      </c>
      <c r="IO27" s="22">
        <v>0.1056</v>
      </c>
      <c r="IP27" s="25">
        <v>0.1023</v>
      </c>
      <c r="IQ27" s="25">
        <v>8.8800000000000004E-2</v>
      </c>
      <c r="IR27" s="24">
        <v>9.6100000000000005E-2</v>
      </c>
      <c r="IS27" s="24">
        <v>0.1004</v>
      </c>
      <c r="IT27" s="24">
        <v>9.4299999999999995E-2</v>
      </c>
      <c r="IU27" s="24">
        <v>8.8599999999999998E-2</v>
      </c>
      <c r="IV27" s="25">
        <v>9.1899999999999996E-2</v>
      </c>
      <c r="IW27" s="25">
        <v>8.6599999999999996E-2</v>
      </c>
      <c r="IX27" s="25">
        <v>8.5900000000000004E-2</v>
      </c>
      <c r="IY27" s="23">
        <v>8.0600000000000005E-2</v>
      </c>
      <c r="IZ27" s="22">
        <v>8.6300000000000002E-2</v>
      </c>
      <c r="JA27" s="22">
        <v>8.3799999999999999E-2</v>
      </c>
      <c r="JB27" s="22">
        <v>7.3899999999999993E-2</v>
      </c>
      <c r="JC27" s="24">
        <v>8.2299999999999998E-2</v>
      </c>
      <c r="JD27" s="23">
        <v>8.0199999999999994E-2</v>
      </c>
      <c r="JE27" s="22">
        <v>8.1199999999999994E-2</v>
      </c>
    </row>
    <row r="28" spans="1:265" ht="12.75" customHeight="1">
      <c r="A28" s="60"/>
      <c r="B28" s="60"/>
      <c r="C28" s="60"/>
      <c r="D28" s="29" t="s">
        <v>30</v>
      </c>
      <c r="E28" s="20">
        <v>26</v>
      </c>
      <c r="F28" s="19" t="s">
        <v>55</v>
      </c>
      <c r="G28" s="18">
        <v>0.1041</v>
      </c>
      <c r="H28" s="18">
        <v>0.10290000000000001</v>
      </c>
      <c r="I28" s="18">
        <v>9.2899999999999996E-2</v>
      </c>
      <c r="J28" s="18">
        <v>9.11E-2</v>
      </c>
      <c r="K28" s="18">
        <v>8.6800000000000002E-2</v>
      </c>
      <c r="L28" s="18">
        <v>9.2600000000000002E-2</v>
      </c>
      <c r="M28" s="18">
        <v>8.3599999999999994E-2</v>
      </c>
      <c r="N28" s="18">
        <v>8.5699999999999998E-2</v>
      </c>
      <c r="O28" s="18">
        <v>7.9000000000000001E-2</v>
      </c>
      <c r="P28" s="18">
        <v>8.4900000000000003E-2</v>
      </c>
      <c r="Q28" s="18">
        <v>8.2199999999999995E-2</v>
      </c>
      <c r="R28" s="18">
        <v>8.3000000000000004E-2</v>
      </c>
      <c r="S28" s="18">
        <v>8.3900000000000002E-2</v>
      </c>
      <c r="T28" s="18">
        <v>7.5800000000000006E-2</v>
      </c>
      <c r="U28" s="18">
        <v>7.7899999999999997E-2</v>
      </c>
      <c r="V28" s="18">
        <v>8.1100000000000005E-2</v>
      </c>
      <c r="W28" s="18">
        <v>7.8E-2</v>
      </c>
      <c r="X28" s="18">
        <v>7.5999999999999998E-2</v>
      </c>
      <c r="Y28" s="18">
        <v>8.2699999999999996E-2</v>
      </c>
      <c r="Z28" s="18">
        <v>7.7600000000000002E-2</v>
      </c>
      <c r="AA28" s="18">
        <v>7.9799999999999996E-2</v>
      </c>
      <c r="AB28" s="18">
        <v>7.8299999999999995E-2</v>
      </c>
      <c r="AC28" s="18">
        <v>7.9600000000000004E-2</v>
      </c>
      <c r="AD28" s="18">
        <v>7.3499999999999996E-2</v>
      </c>
      <c r="AE28" s="18">
        <v>8.0799999999999997E-2</v>
      </c>
      <c r="AF28" s="18">
        <v>7.5600000000000001E-2</v>
      </c>
      <c r="AG28" s="18">
        <v>7.8600000000000003E-2</v>
      </c>
      <c r="AH28" s="18">
        <v>7.3700000000000002E-2</v>
      </c>
      <c r="AI28" s="18">
        <v>7.3899999999999993E-2</v>
      </c>
      <c r="AJ28" s="18">
        <v>8.1100000000000005E-2</v>
      </c>
      <c r="AK28" s="18">
        <v>7.8200000000000006E-2</v>
      </c>
      <c r="AL28" s="18">
        <v>7.0300000000000001E-2</v>
      </c>
      <c r="AM28" s="18">
        <v>8.4900000000000003E-2</v>
      </c>
      <c r="AN28" s="18">
        <v>7.8799999999999995E-2</v>
      </c>
      <c r="AO28" s="18">
        <v>8.1600000000000006E-2</v>
      </c>
      <c r="AP28" s="18">
        <v>8.9700000000000002E-2</v>
      </c>
      <c r="AQ28" s="18">
        <v>9.2299999999999993E-2</v>
      </c>
      <c r="AR28" s="18">
        <v>8.5500000000000007E-2</v>
      </c>
      <c r="AS28" s="18">
        <v>9.2899999999999996E-2</v>
      </c>
      <c r="AT28" s="18">
        <v>9.2299999999999993E-2</v>
      </c>
      <c r="AU28" s="18">
        <v>0.108</v>
      </c>
      <c r="AV28" s="18">
        <v>0.1162</v>
      </c>
      <c r="AW28" s="18">
        <v>0.13</v>
      </c>
      <c r="AX28" s="18">
        <v>0.12889999999999999</v>
      </c>
      <c r="AY28" s="18">
        <v>0.1298</v>
      </c>
      <c r="AZ28" s="18">
        <v>0.12770000000000001</v>
      </c>
      <c r="BA28" s="18">
        <v>0.12790000000000001</v>
      </c>
      <c r="BB28" s="18">
        <v>0.12790000000000001</v>
      </c>
      <c r="BC28" s="18">
        <v>0.1042</v>
      </c>
      <c r="BD28" s="18">
        <v>0.1202</v>
      </c>
      <c r="BE28" s="18">
        <v>8.0399999999999999E-2</v>
      </c>
      <c r="BF28" s="18">
        <v>7.9000000000000001E-2</v>
      </c>
      <c r="BG28" s="18">
        <v>8.0600000000000005E-2</v>
      </c>
      <c r="BH28" s="18">
        <v>8.5800000000000001E-2</v>
      </c>
      <c r="BI28" s="18">
        <v>8.2799999999999999E-2</v>
      </c>
      <c r="BJ28" s="18">
        <v>8.8099999999999998E-2</v>
      </c>
      <c r="BK28" s="18">
        <v>8.48E-2</v>
      </c>
      <c r="BL28" s="18">
        <v>8.5199999999999998E-2</v>
      </c>
      <c r="BM28" s="18">
        <v>8.9099999999999999E-2</v>
      </c>
      <c r="BN28" s="18">
        <v>8.8200000000000001E-2</v>
      </c>
      <c r="BO28" s="18">
        <v>8.6699999999999999E-2</v>
      </c>
      <c r="BP28" s="18">
        <v>8.8999999999999996E-2</v>
      </c>
      <c r="BQ28" s="18">
        <v>8.8599999999999998E-2</v>
      </c>
      <c r="BR28" s="18">
        <v>8.5699999999999998E-2</v>
      </c>
      <c r="BS28" s="18">
        <v>8.2500000000000004E-2</v>
      </c>
      <c r="BT28" s="18">
        <v>7.2700000000000001E-2</v>
      </c>
      <c r="BU28" s="18">
        <v>7.0099999999999996E-2</v>
      </c>
      <c r="BV28" s="18">
        <v>8.7099999999999997E-2</v>
      </c>
      <c r="BW28" s="18">
        <v>8.2600000000000007E-2</v>
      </c>
      <c r="BX28" s="18">
        <v>8.4400000000000003E-2</v>
      </c>
      <c r="BY28" s="18">
        <v>8.5099999999999995E-2</v>
      </c>
      <c r="BZ28" s="18">
        <v>8.6900000000000005E-2</v>
      </c>
      <c r="CA28" s="18">
        <v>8.0799999999999997E-2</v>
      </c>
      <c r="CB28" s="18" t="s">
        <v>25</v>
      </c>
      <c r="CC28" s="18" t="s">
        <v>25</v>
      </c>
      <c r="CD28" s="18">
        <v>8.9700000000000002E-2</v>
      </c>
      <c r="CE28" s="18">
        <v>9.4299999999999995E-2</v>
      </c>
      <c r="CF28" s="18">
        <v>8.9300000000000004E-2</v>
      </c>
      <c r="CG28" s="18">
        <v>9.4E-2</v>
      </c>
      <c r="CH28" s="18">
        <v>9.6500000000000002E-2</v>
      </c>
      <c r="CI28" s="18">
        <v>9.2600000000000002E-2</v>
      </c>
      <c r="CJ28" s="18">
        <v>8.1900000000000001E-2</v>
      </c>
      <c r="CK28" s="18">
        <v>8.9300000000000004E-2</v>
      </c>
      <c r="CL28" s="18">
        <v>9.5899999999999999E-2</v>
      </c>
      <c r="CM28" s="18">
        <v>9.7199999999999995E-2</v>
      </c>
      <c r="CN28" s="18">
        <v>9.01E-2</v>
      </c>
      <c r="CO28" s="18" t="s">
        <v>25</v>
      </c>
      <c r="CP28" s="18">
        <v>8.5400000000000004E-2</v>
      </c>
      <c r="CQ28" s="18">
        <v>9.9500000000000005E-2</v>
      </c>
      <c r="CR28" s="18">
        <v>9.0899999999999995E-2</v>
      </c>
      <c r="CS28" s="18">
        <v>9.9900000000000003E-2</v>
      </c>
      <c r="CT28" s="18">
        <v>0.10009999999999999</v>
      </c>
      <c r="CU28" s="18">
        <v>9.5699999999999993E-2</v>
      </c>
      <c r="CV28" s="18">
        <v>9.2600000000000002E-2</v>
      </c>
      <c r="CW28" s="18">
        <v>8.8599999999999998E-2</v>
      </c>
      <c r="CX28" s="18">
        <v>8.2400000000000001E-2</v>
      </c>
      <c r="CY28" s="18">
        <v>8.0799999999999997E-2</v>
      </c>
      <c r="CZ28" s="18">
        <v>8.4099999999999994E-2</v>
      </c>
      <c r="DA28" s="18">
        <v>8.3400000000000002E-2</v>
      </c>
      <c r="DB28" s="18">
        <v>8.2100000000000006E-2</v>
      </c>
      <c r="DC28" s="18" t="s">
        <v>25</v>
      </c>
      <c r="DD28" s="18" t="s">
        <v>25</v>
      </c>
      <c r="DE28" s="18">
        <v>7.3700000000000002E-2</v>
      </c>
      <c r="DF28" s="18" t="s">
        <v>25</v>
      </c>
      <c r="DG28" s="18" t="s">
        <v>25</v>
      </c>
      <c r="DH28" s="18" t="s">
        <v>25</v>
      </c>
      <c r="DI28" s="18">
        <v>7.6799999999999993E-2</v>
      </c>
      <c r="DJ28" s="18">
        <v>7.3499999999999996E-2</v>
      </c>
      <c r="DK28" s="18">
        <v>7.5600000000000001E-2</v>
      </c>
      <c r="DL28" s="18" t="s">
        <v>25</v>
      </c>
      <c r="DM28" s="18" t="s">
        <v>25</v>
      </c>
      <c r="DN28" s="18">
        <v>7.0599999999999996E-2</v>
      </c>
      <c r="DO28" s="18">
        <v>6.9800000000000001E-2</v>
      </c>
      <c r="DP28" s="18" t="s">
        <v>25</v>
      </c>
      <c r="DQ28" s="18" t="s">
        <v>25</v>
      </c>
      <c r="DR28" s="18" t="s">
        <v>25</v>
      </c>
      <c r="DS28" s="18" t="s">
        <v>25</v>
      </c>
      <c r="DT28" s="18">
        <v>7.2999999999999995E-2</v>
      </c>
      <c r="DU28" s="18">
        <v>6.3E-2</v>
      </c>
      <c r="DV28" s="18" t="s">
        <v>25</v>
      </c>
      <c r="DW28" s="18" t="s">
        <v>25</v>
      </c>
      <c r="DX28" s="18" t="s">
        <v>25</v>
      </c>
      <c r="DY28" s="18" t="s">
        <v>25</v>
      </c>
      <c r="DZ28" s="18" t="s">
        <v>25</v>
      </c>
      <c r="EA28" s="18" t="s">
        <v>25</v>
      </c>
      <c r="EB28" s="18" t="s">
        <v>25</v>
      </c>
      <c r="EC28" s="18" t="s">
        <v>25</v>
      </c>
      <c r="ED28" s="18" t="s">
        <v>25</v>
      </c>
      <c r="EE28" s="18" t="s">
        <v>25</v>
      </c>
      <c r="EF28" s="18" t="s">
        <v>25</v>
      </c>
      <c r="EG28" s="18" t="s">
        <v>25</v>
      </c>
      <c r="EH28" s="18" t="s">
        <v>25</v>
      </c>
      <c r="EI28" s="18" t="s">
        <v>25</v>
      </c>
      <c r="EJ28" s="18" t="s">
        <v>25</v>
      </c>
      <c r="EK28" s="18" t="s">
        <v>25</v>
      </c>
      <c r="EL28" s="18" t="s">
        <v>25</v>
      </c>
      <c r="EM28" s="18" t="s">
        <v>25</v>
      </c>
      <c r="EN28" s="18" t="s">
        <v>25</v>
      </c>
      <c r="EO28" s="18" t="s">
        <v>25</v>
      </c>
      <c r="EP28" s="18" t="s">
        <v>25</v>
      </c>
      <c r="EQ28" s="18" t="s">
        <v>25</v>
      </c>
      <c r="ER28" s="18" t="s">
        <v>25</v>
      </c>
      <c r="ES28" s="18" t="s">
        <v>25</v>
      </c>
      <c r="ET28" s="18" t="s">
        <v>25</v>
      </c>
      <c r="EU28" s="18" t="s">
        <v>25</v>
      </c>
      <c r="EV28" s="18" t="s">
        <v>25</v>
      </c>
      <c r="EW28" s="18" t="s">
        <v>25</v>
      </c>
      <c r="EX28" s="18" t="s">
        <v>25</v>
      </c>
      <c r="EY28" s="18" t="s">
        <v>25</v>
      </c>
      <c r="EZ28" s="18" t="s">
        <v>25</v>
      </c>
      <c r="FA28" s="18" t="s">
        <v>25</v>
      </c>
      <c r="FB28" s="18" t="s">
        <v>25</v>
      </c>
      <c r="FC28" s="18" t="s">
        <v>25</v>
      </c>
      <c r="FD28" s="18" t="s">
        <v>25</v>
      </c>
      <c r="FE28" s="18" t="s">
        <v>25</v>
      </c>
      <c r="FF28" s="18" t="s">
        <v>25</v>
      </c>
      <c r="FG28" s="18" t="s">
        <v>25</v>
      </c>
      <c r="FH28" s="18" t="s">
        <v>25</v>
      </c>
      <c r="FI28" s="18" t="s">
        <v>25</v>
      </c>
      <c r="FJ28" s="18" t="s">
        <v>25</v>
      </c>
      <c r="FK28" s="18" t="s">
        <v>25</v>
      </c>
      <c r="FL28" s="18" t="s">
        <v>25</v>
      </c>
      <c r="FM28" s="18" t="s">
        <v>25</v>
      </c>
      <c r="FN28" s="18" t="s">
        <v>25</v>
      </c>
      <c r="FO28" s="18" t="s">
        <v>25</v>
      </c>
      <c r="FP28" s="18" t="s">
        <v>25</v>
      </c>
      <c r="FQ28" s="18" t="s">
        <v>25</v>
      </c>
      <c r="FR28" s="18" t="s">
        <v>25</v>
      </c>
      <c r="FS28" s="18" t="s">
        <v>25</v>
      </c>
      <c r="FT28" s="18" t="s">
        <v>25</v>
      </c>
      <c r="FU28" s="18" t="s">
        <v>25</v>
      </c>
      <c r="FV28" s="18" t="s">
        <v>25</v>
      </c>
      <c r="FW28" s="18" t="s">
        <v>25</v>
      </c>
      <c r="FX28" s="18" t="s">
        <v>25</v>
      </c>
      <c r="FY28" s="18" t="s">
        <v>25</v>
      </c>
      <c r="FZ28" s="17" t="s">
        <v>25</v>
      </c>
      <c r="GA28" s="13" t="s">
        <v>25</v>
      </c>
      <c r="GB28" s="13" t="s">
        <v>25</v>
      </c>
      <c r="GC28" s="13" t="s">
        <v>25</v>
      </c>
      <c r="GD28" s="13" t="s">
        <v>25</v>
      </c>
      <c r="GE28" s="13" t="s">
        <v>25</v>
      </c>
      <c r="GF28" s="13" t="s">
        <v>25</v>
      </c>
      <c r="GG28" s="18" t="s">
        <v>25</v>
      </c>
      <c r="GH28" s="17" t="s">
        <v>25</v>
      </c>
      <c r="GI28" s="17" t="s">
        <v>25</v>
      </c>
      <c r="GJ28" s="13" t="s">
        <v>25</v>
      </c>
      <c r="GK28" s="13" t="s">
        <v>25</v>
      </c>
      <c r="GL28" s="18" t="s">
        <v>25</v>
      </c>
      <c r="GM28" s="18" t="s">
        <v>25</v>
      </c>
      <c r="GN28" s="17" t="s">
        <v>25</v>
      </c>
      <c r="GO28" s="13" t="s">
        <v>25</v>
      </c>
      <c r="GP28" s="13" t="s">
        <v>25</v>
      </c>
      <c r="GQ28" s="13" t="s">
        <v>25</v>
      </c>
      <c r="GR28" s="16" t="s">
        <v>25</v>
      </c>
      <c r="GS28" s="15" t="s">
        <v>25</v>
      </c>
      <c r="GT28" s="14" t="s">
        <v>25</v>
      </c>
      <c r="GU28" s="13" t="s">
        <v>25</v>
      </c>
      <c r="GV28" s="16" t="s">
        <v>25</v>
      </c>
      <c r="GW28" s="15" t="s">
        <v>25</v>
      </c>
      <c r="GX28" s="14" t="s">
        <v>25</v>
      </c>
      <c r="GY28" s="13" t="s">
        <v>25</v>
      </c>
      <c r="GZ28" s="13" t="s">
        <v>25</v>
      </c>
      <c r="HA28" s="16" t="s">
        <v>25</v>
      </c>
      <c r="HB28" s="16" t="s">
        <v>25</v>
      </c>
      <c r="HC28" s="16" t="s">
        <v>25</v>
      </c>
      <c r="HD28" s="16" t="s">
        <v>25</v>
      </c>
      <c r="HE28" s="16" t="s">
        <v>25</v>
      </c>
      <c r="HF28" s="16" t="s">
        <v>25</v>
      </c>
      <c r="HG28" s="16" t="s">
        <v>25</v>
      </c>
      <c r="HH28" s="16" t="s">
        <v>25</v>
      </c>
      <c r="HI28" s="16" t="s">
        <v>25</v>
      </c>
      <c r="HJ28" s="16" t="s">
        <v>25</v>
      </c>
      <c r="HK28" s="16" t="s">
        <v>25</v>
      </c>
      <c r="HL28" s="14" t="s">
        <v>25</v>
      </c>
      <c r="HM28" s="14" t="s">
        <v>25</v>
      </c>
      <c r="HN28" s="14" t="s">
        <v>25</v>
      </c>
      <c r="HO28" s="14" t="s">
        <v>25</v>
      </c>
      <c r="HP28" s="14" t="s">
        <v>25</v>
      </c>
      <c r="HQ28" s="14" t="s">
        <v>25</v>
      </c>
      <c r="HR28" s="14" t="s">
        <v>25</v>
      </c>
      <c r="HS28" s="14" t="s">
        <v>25</v>
      </c>
      <c r="HT28" s="14" t="s">
        <v>25</v>
      </c>
      <c r="HU28" s="14" t="s">
        <v>25</v>
      </c>
      <c r="HV28" s="14" t="s">
        <v>25</v>
      </c>
      <c r="HW28" s="14" t="s">
        <v>25</v>
      </c>
      <c r="HX28" s="14">
        <v>8.3599999999999994E-2</v>
      </c>
      <c r="HY28" s="13">
        <v>7.8600000000000003E-2</v>
      </c>
      <c r="HZ28" s="16">
        <v>7.6999999999999999E-2</v>
      </c>
      <c r="IA28" s="14">
        <v>8.5000000000000006E-2</v>
      </c>
      <c r="IB28" s="14">
        <v>8.8099999999999998E-2</v>
      </c>
      <c r="IC28" s="13">
        <v>8.6199999999999999E-2</v>
      </c>
      <c r="ID28" s="13">
        <v>8.6900000000000005E-2</v>
      </c>
      <c r="IE28" s="16" t="s">
        <v>25</v>
      </c>
      <c r="IF28" s="15" t="s">
        <v>25</v>
      </c>
      <c r="IG28" s="15" t="s">
        <v>25</v>
      </c>
      <c r="IH28" s="15">
        <v>9.8500000000000004E-2</v>
      </c>
      <c r="II28" s="16">
        <v>9.6000000000000002E-2</v>
      </c>
      <c r="IJ28" s="16">
        <v>8.3699999999999997E-2</v>
      </c>
      <c r="IK28" s="16" t="s">
        <v>25</v>
      </c>
      <c r="IL28" s="16" t="s">
        <v>25</v>
      </c>
      <c r="IM28" s="15" t="s">
        <v>25</v>
      </c>
      <c r="IN28" s="14" t="s">
        <v>25</v>
      </c>
      <c r="IO28" s="13" t="s">
        <v>25</v>
      </c>
      <c r="IP28" s="16">
        <v>8.8999999999999996E-2</v>
      </c>
      <c r="IQ28" s="16">
        <v>8.4900000000000003E-2</v>
      </c>
      <c r="IR28" s="15">
        <v>8.4000000000000005E-2</v>
      </c>
      <c r="IS28" s="15" t="s">
        <v>25</v>
      </c>
      <c r="IT28" s="15">
        <v>8.4099999999999994E-2</v>
      </c>
      <c r="IU28" s="15" t="s">
        <v>25</v>
      </c>
      <c r="IV28" s="16" t="s">
        <v>25</v>
      </c>
      <c r="IW28" s="16">
        <v>9.2299999999999993E-2</v>
      </c>
      <c r="IX28" s="16">
        <v>0.1021</v>
      </c>
      <c r="IY28" s="14" t="s">
        <v>25</v>
      </c>
      <c r="IZ28" s="13" t="s">
        <v>25</v>
      </c>
      <c r="JA28" s="13" t="s">
        <v>25</v>
      </c>
      <c r="JB28" s="13" t="s">
        <v>25</v>
      </c>
      <c r="JC28" s="15" t="s">
        <v>25</v>
      </c>
      <c r="JD28" s="14" t="s">
        <v>25</v>
      </c>
      <c r="JE28" s="13" t="s">
        <v>25</v>
      </c>
    </row>
    <row r="29" spans="1:265" ht="12.75" customHeight="1">
      <c r="A29" s="60"/>
      <c r="B29" s="60"/>
      <c r="C29" s="60"/>
      <c r="D29" s="29" t="s">
        <v>28</v>
      </c>
      <c r="E29" s="20">
        <v>27</v>
      </c>
      <c r="F29" s="19" t="s">
        <v>54</v>
      </c>
      <c r="G29" s="27">
        <v>0.1074</v>
      </c>
      <c r="H29" s="27">
        <v>0.1013</v>
      </c>
      <c r="I29" s="27">
        <v>9.8199999999999996E-2</v>
      </c>
      <c r="J29" s="27">
        <v>9.74E-2</v>
      </c>
      <c r="K29" s="27">
        <v>9.3299999999999994E-2</v>
      </c>
      <c r="L29" s="27">
        <v>9.8699999999999996E-2</v>
      </c>
      <c r="M29" s="27">
        <v>0.1038</v>
      </c>
      <c r="N29" s="27">
        <v>8.0299999999999996E-2</v>
      </c>
      <c r="O29" s="27">
        <v>6.5199999999999994E-2</v>
      </c>
      <c r="P29" s="27">
        <v>6.5500000000000003E-2</v>
      </c>
      <c r="Q29" s="27">
        <v>8.2100000000000006E-2</v>
      </c>
      <c r="R29" s="27">
        <v>8.09E-2</v>
      </c>
      <c r="S29" s="27">
        <v>9.7900000000000001E-2</v>
      </c>
      <c r="T29" s="27">
        <v>8.3400000000000002E-2</v>
      </c>
      <c r="U29" s="27">
        <v>7.5999999999999998E-2</v>
      </c>
      <c r="V29" s="27">
        <v>8.1000000000000003E-2</v>
      </c>
      <c r="W29" s="27">
        <v>6.88E-2</v>
      </c>
      <c r="X29" s="27">
        <v>0.1048</v>
      </c>
      <c r="Y29" s="27">
        <v>0.13170000000000001</v>
      </c>
      <c r="Z29" s="27">
        <v>0.13919999999999999</v>
      </c>
      <c r="AA29" s="27">
        <v>0.13539999999999999</v>
      </c>
      <c r="AB29" s="27">
        <v>0.13150000000000001</v>
      </c>
      <c r="AC29" s="27">
        <v>0.13750000000000001</v>
      </c>
      <c r="AD29" s="27">
        <v>0.12740000000000001</v>
      </c>
      <c r="AE29" s="27">
        <v>0.1215</v>
      </c>
      <c r="AF29" s="27">
        <v>0.13250000000000001</v>
      </c>
      <c r="AG29" s="27">
        <v>0.1333</v>
      </c>
      <c r="AH29" s="27">
        <v>0.12520000000000001</v>
      </c>
      <c r="AI29" s="27">
        <v>0.1216</v>
      </c>
      <c r="AJ29" s="27">
        <v>0.12139999999999999</v>
      </c>
      <c r="AK29" s="27">
        <v>0.12570000000000001</v>
      </c>
      <c r="AL29" s="27">
        <v>0.13389999999999999</v>
      </c>
      <c r="AM29" s="27">
        <v>0.12859999999999999</v>
      </c>
      <c r="AN29" s="27">
        <v>0.1298</v>
      </c>
      <c r="AO29" s="27">
        <v>0.1268</v>
      </c>
      <c r="AP29" s="27">
        <v>0.13020000000000001</v>
      </c>
      <c r="AQ29" s="27">
        <v>0.13109999999999999</v>
      </c>
      <c r="AR29" s="27">
        <v>0.12989999999999999</v>
      </c>
      <c r="AS29" s="27">
        <v>0.12470000000000001</v>
      </c>
      <c r="AT29" s="27">
        <v>0.1255</v>
      </c>
      <c r="AU29" s="27">
        <v>0.13120000000000001</v>
      </c>
      <c r="AV29" s="27">
        <v>0.1241</v>
      </c>
      <c r="AW29" s="27">
        <v>0.1263</v>
      </c>
      <c r="AX29" s="27">
        <v>0.13039999999999999</v>
      </c>
      <c r="AY29" s="27">
        <v>0.1283</v>
      </c>
      <c r="AZ29" s="27">
        <v>0.1208</v>
      </c>
      <c r="BA29" s="27">
        <v>0.1273</v>
      </c>
      <c r="BB29" s="27">
        <v>0.12379999999999999</v>
      </c>
      <c r="BC29" s="27">
        <v>0.12640000000000001</v>
      </c>
      <c r="BD29" s="27">
        <v>0.12429999999999999</v>
      </c>
      <c r="BE29" s="27">
        <v>0.12039999999999999</v>
      </c>
      <c r="BF29" s="27">
        <v>0.1288</v>
      </c>
      <c r="BG29" s="27">
        <v>0.122</v>
      </c>
      <c r="BH29" s="27">
        <v>0.112</v>
      </c>
      <c r="BI29" s="27">
        <v>0.1229</v>
      </c>
      <c r="BJ29" s="27">
        <v>0.129</v>
      </c>
      <c r="BK29" s="27">
        <v>0.1348</v>
      </c>
      <c r="BL29" s="27">
        <v>9.8000000000000004E-2</v>
      </c>
      <c r="BM29" s="27">
        <v>0.126</v>
      </c>
      <c r="BN29" s="27">
        <v>0.13039999999999999</v>
      </c>
      <c r="BO29" s="27">
        <v>0.1195</v>
      </c>
      <c r="BP29" s="27">
        <v>0.12889999999999999</v>
      </c>
      <c r="BQ29" s="27">
        <v>0.123</v>
      </c>
      <c r="BR29" s="27">
        <v>0.1303</v>
      </c>
      <c r="BS29" s="27">
        <v>0.10730000000000001</v>
      </c>
      <c r="BT29" s="27">
        <v>6.6199999999999995E-2</v>
      </c>
      <c r="BU29" s="27">
        <v>6.3399999999999998E-2</v>
      </c>
      <c r="BV29" s="27">
        <v>0.06</v>
      </c>
      <c r="BW29" s="27">
        <v>6.0499999999999998E-2</v>
      </c>
      <c r="BX29" s="27">
        <v>6.6500000000000004E-2</v>
      </c>
      <c r="BY29" s="27" t="s">
        <v>26</v>
      </c>
      <c r="BZ29" s="27">
        <v>9.6699999999999994E-2</v>
      </c>
      <c r="CA29" s="27" t="s">
        <v>25</v>
      </c>
      <c r="CB29" s="27" t="s">
        <v>25</v>
      </c>
      <c r="CC29" s="27" t="s">
        <v>25</v>
      </c>
      <c r="CD29" s="27" t="s">
        <v>25</v>
      </c>
      <c r="CE29" s="27" t="s">
        <v>25</v>
      </c>
      <c r="CF29" s="27" t="s">
        <v>25</v>
      </c>
      <c r="CG29" s="27" t="s">
        <v>25</v>
      </c>
      <c r="CH29" s="27" t="s">
        <v>25</v>
      </c>
      <c r="CI29" s="27" t="s">
        <v>25</v>
      </c>
      <c r="CJ29" s="27" t="s">
        <v>25</v>
      </c>
      <c r="CK29" s="27" t="s">
        <v>25</v>
      </c>
      <c r="CL29" s="27" t="s">
        <v>25</v>
      </c>
      <c r="CM29" s="27" t="s">
        <v>25</v>
      </c>
      <c r="CN29" s="27" t="s">
        <v>25</v>
      </c>
      <c r="CO29" s="27" t="s">
        <v>25</v>
      </c>
      <c r="CP29" s="27" t="s">
        <v>25</v>
      </c>
      <c r="CQ29" s="27" t="s">
        <v>25</v>
      </c>
      <c r="CR29" s="27" t="s">
        <v>25</v>
      </c>
      <c r="CS29" s="27" t="s">
        <v>25</v>
      </c>
      <c r="CT29" s="27" t="s">
        <v>25</v>
      </c>
      <c r="CU29" s="27" t="s">
        <v>25</v>
      </c>
      <c r="CV29" s="27" t="s">
        <v>25</v>
      </c>
      <c r="CW29" s="27" t="s">
        <v>25</v>
      </c>
      <c r="CX29" s="27" t="s">
        <v>25</v>
      </c>
      <c r="CY29" s="27" t="s">
        <v>25</v>
      </c>
      <c r="CZ29" s="27" t="s">
        <v>25</v>
      </c>
      <c r="DA29" s="27" t="s">
        <v>25</v>
      </c>
      <c r="DB29" s="27" t="s">
        <v>25</v>
      </c>
      <c r="DC29" s="27" t="s">
        <v>25</v>
      </c>
      <c r="DD29" s="27" t="s">
        <v>25</v>
      </c>
      <c r="DE29" s="27" t="s">
        <v>25</v>
      </c>
      <c r="DF29" s="27" t="s">
        <v>25</v>
      </c>
      <c r="DG29" s="27">
        <v>0.1308</v>
      </c>
      <c r="DH29" s="27">
        <v>0.111</v>
      </c>
      <c r="DI29" s="27" t="s">
        <v>25</v>
      </c>
      <c r="DJ29" s="27">
        <v>0.12859999999999999</v>
      </c>
      <c r="DK29" s="27" t="s">
        <v>25</v>
      </c>
      <c r="DL29" s="27" t="s">
        <v>25</v>
      </c>
      <c r="DM29" s="27">
        <v>8.2500000000000004E-2</v>
      </c>
      <c r="DN29" s="27">
        <v>8.48E-2</v>
      </c>
      <c r="DO29" s="27" t="s">
        <v>25</v>
      </c>
      <c r="DP29" s="27">
        <v>0.12640000000000001</v>
      </c>
      <c r="DQ29" s="27" t="s">
        <v>25</v>
      </c>
      <c r="DR29" s="27" t="s">
        <v>25</v>
      </c>
      <c r="DS29" s="27" t="s">
        <v>25</v>
      </c>
      <c r="DT29" s="27" t="s">
        <v>25</v>
      </c>
      <c r="DU29" s="27" t="s">
        <v>25</v>
      </c>
      <c r="DV29" s="27" t="s">
        <v>25</v>
      </c>
      <c r="DW29" s="27" t="s">
        <v>25</v>
      </c>
      <c r="DX29" s="27" t="s">
        <v>25</v>
      </c>
      <c r="DY29" s="27" t="s">
        <v>25</v>
      </c>
      <c r="DZ29" s="27" t="s">
        <v>25</v>
      </c>
      <c r="EA29" s="27" t="s">
        <v>25</v>
      </c>
      <c r="EB29" s="27" t="s">
        <v>25</v>
      </c>
      <c r="EC29" s="27" t="s">
        <v>25</v>
      </c>
      <c r="ED29" s="27" t="s">
        <v>25</v>
      </c>
      <c r="EE29" s="27" t="s">
        <v>25</v>
      </c>
      <c r="EF29" s="27" t="s">
        <v>25</v>
      </c>
      <c r="EG29" s="27" t="s">
        <v>25</v>
      </c>
      <c r="EH29" s="27" t="s">
        <v>25</v>
      </c>
      <c r="EI29" s="27">
        <v>5.4399999999999997E-2</v>
      </c>
      <c r="EJ29" s="27" t="s">
        <v>25</v>
      </c>
      <c r="EK29" s="27" t="s">
        <v>25</v>
      </c>
      <c r="EL29" s="27" t="s">
        <v>25</v>
      </c>
      <c r="EM29" s="27" t="s">
        <v>25</v>
      </c>
      <c r="EN29" s="27" t="s">
        <v>25</v>
      </c>
      <c r="EO29" s="27" t="s">
        <v>25</v>
      </c>
      <c r="EP29" s="27" t="s">
        <v>25</v>
      </c>
      <c r="EQ29" s="27" t="s">
        <v>25</v>
      </c>
      <c r="ER29" s="27" t="s">
        <v>25</v>
      </c>
      <c r="ES29" s="27" t="s">
        <v>25</v>
      </c>
      <c r="ET29" s="27" t="s">
        <v>25</v>
      </c>
      <c r="EU29" s="27" t="s">
        <v>25</v>
      </c>
      <c r="EV29" s="27" t="s">
        <v>25</v>
      </c>
      <c r="EW29" s="27" t="s">
        <v>25</v>
      </c>
      <c r="EX29" s="27" t="s">
        <v>25</v>
      </c>
      <c r="EY29" s="27" t="s">
        <v>25</v>
      </c>
      <c r="EZ29" s="27" t="s">
        <v>25</v>
      </c>
      <c r="FA29" s="27" t="s">
        <v>25</v>
      </c>
      <c r="FB29" s="27" t="s">
        <v>25</v>
      </c>
      <c r="FC29" s="27" t="s">
        <v>25</v>
      </c>
      <c r="FD29" s="27" t="s">
        <v>25</v>
      </c>
      <c r="FE29" s="27" t="s">
        <v>25</v>
      </c>
      <c r="FF29" s="27" t="s">
        <v>25</v>
      </c>
      <c r="FG29" s="27" t="s">
        <v>25</v>
      </c>
      <c r="FH29" s="27" t="s">
        <v>25</v>
      </c>
      <c r="FI29" s="27" t="s">
        <v>25</v>
      </c>
      <c r="FJ29" s="27" t="s">
        <v>25</v>
      </c>
      <c r="FK29" s="27" t="s">
        <v>25</v>
      </c>
      <c r="FL29" s="27">
        <v>2.3099999999999999E-2</v>
      </c>
      <c r="FM29" s="27">
        <v>3.1300000000000001E-2</v>
      </c>
      <c r="FN29" s="27">
        <v>4.1000000000000002E-2</v>
      </c>
      <c r="FO29" s="27">
        <v>3.8600000000000002E-2</v>
      </c>
      <c r="FP29" s="27">
        <v>3.85E-2</v>
      </c>
      <c r="FQ29" s="27">
        <v>3.5700000000000003E-2</v>
      </c>
      <c r="FR29" s="27">
        <v>2.2499999999999999E-2</v>
      </c>
      <c r="FS29" s="27">
        <v>2.76E-2</v>
      </c>
      <c r="FT29" s="27">
        <v>2.8000000000000001E-2</v>
      </c>
      <c r="FU29" s="27">
        <v>2.7799999999999998E-2</v>
      </c>
      <c r="FV29" s="27">
        <v>3.9600000000000003E-2</v>
      </c>
      <c r="FW29" s="27">
        <v>3.5900000000000001E-2</v>
      </c>
      <c r="FX29" s="27">
        <v>4.2799999999999998E-2</v>
      </c>
      <c r="FY29" s="27">
        <v>5.6500000000000002E-2</v>
      </c>
      <c r="FZ29" s="26" t="s">
        <v>25</v>
      </c>
      <c r="GA29" s="22" t="s">
        <v>25</v>
      </c>
      <c r="GB29" s="22" t="s">
        <v>25</v>
      </c>
      <c r="GC29" s="22" t="s">
        <v>25</v>
      </c>
      <c r="GD29" s="22" t="s">
        <v>25</v>
      </c>
      <c r="GE29" s="22" t="s">
        <v>25</v>
      </c>
      <c r="GF29" s="22" t="s">
        <v>25</v>
      </c>
      <c r="GG29" s="27" t="s">
        <v>25</v>
      </c>
      <c r="GH29" s="26" t="s">
        <v>25</v>
      </c>
      <c r="GI29" s="26" t="s">
        <v>25</v>
      </c>
      <c r="GJ29" s="22" t="s">
        <v>25</v>
      </c>
      <c r="GK29" s="22" t="s">
        <v>25</v>
      </c>
      <c r="GL29" s="27" t="s">
        <v>25</v>
      </c>
      <c r="GM29" s="27" t="s">
        <v>25</v>
      </c>
      <c r="GN29" s="26" t="s">
        <v>25</v>
      </c>
      <c r="GO29" s="22">
        <v>3.5099999999999999E-2</v>
      </c>
      <c r="GP29" s="22">
        <v>3.0499999999999999E-2</v>
      </c>
      <c r="GQ29" s="22">
        <v>3.3500000000000002E-2</v>
      </c>
      <c r="GR29" s="25">
        <v>4.4900000000000002E-2</v>
      </c>
      <c r="GS29" s="24" t="s">
        <v>25</v>
      </c>
      <c r="GT29" s="23" t="s">
        <v>25</v>
      </c>
      <c r="GU29" s="22" t="s">
        <v>25</v>
      </c>
      <c r="GV29" s="25" t="s">
        <v>25</v>
      </c>
      <c r="GW29" s="24" t="s">
        <v>25</v>
      </c>
      <c r="GX29" s="23" t="s">
        <v>25</v>
      </c>
      <c r="GY29" s="22" t="s">
        <v>25</v>
      </c>
      <c r="GZ29" s="22">
        <v>7.1900000000000006E-2</v>
      </c>
      <c r="HA29" s="25">
        <v>8.4400000000000003E-2</v>
      </c>
      <c r="HB29" s="25">
        <v>8.8900000000000007E-2</v>
      </c>
      <c r="HC29" s="25">
        <v>8.6400000000000005E-2</v>
      </c>
      <c r="HD29" s="25">
        <v>9.9699999999999997E-2</v>
      </c>
      <c r="HE29" s="25">
        <v>0.10630000000000001</v>
      </c>
      <c r="HF29" s="25">
        <v>9.98E-2</v>
      </c>
      <c r="HG29" s="25">
        <v>0.1152</v>
      </c>
      <c r="HH29" s="25">
        <v>0.1187</v>
      </c>
      <c r="HI29" s="25">
        <v>0.11799999999999999</v>
      </c>
      <c r="HJ29" s="25">
        <v>0.1188</v>
      </c>
      <c r="HK29" s="25">
        <v>0.1181</v>
      </c>
      <c r="HL29" s="23">
        <v>0.1232</v>
      </c>
      <c r="HM29" s="23">
        <v>0.1191</v>
      </c>
      <c r="HN29" s="23">
        <v>0.1169</v>
      </c>
      <c r="HO29" s="23">
        <v>0.11559999999999999</v>
      </c>
      <c r="HP29" s="23">
        <v>0.1169</v>
      </c>
      <c r="HQ29" s="23">
        <v>0.1167</v>
      </c>
      <c r="HR29" s="23">
        <v>0.1132</v>
      </c>
      <c r="HS29" s="23">
        <v>0.1142</v>
      </c>
      <c r="HT29" s="23">
        <v>0.11210000000000001</v>
      </c>
      <c r="HU29" s="23">
        <v>0.11559999999999999</v>
      </c>
      <c r="HV29" s="23">
        <v>0.1133</v>
      </c>
      <c r="HW29" s="23">
        <v>0.1106</v>
      </c>
      <c r="HX29" s="23">
        <v>0.1074</v>
      </c>
      <c r="HY29" s="22">
        <v>0.1105</v>
      </c>
      <c r="HZ29" s="25">
        <v>0.10979999999999999</v>
      </c>
      <c r="IA29" s="23">
        <v>0.1109</v>
      </c>
      <c r="IB29" s="23">
        <v>0.1124</v>
      </c>
      <c r="IC29" s="22">
        <v>0.1106</v>
      </c>
      <c r="ID29" s="22">
        <v>0.1137</v>
      </c>
      <c r="IE29" s="25">
        <v>0.1119</v>
      </c>
      <c r="IF29" s="24">
        <v>0.1111</v>
      </c>
      <c r="IG29" s="24">
        <v>0.1113</v>
      </c>
      <c r="IH29" s="24">
        <v>0.109</v>
      </c>
      <c r="II29" s="25">
        <v>0.1103</v>
      </c>
      <c r="IJ29" s="25">
        <v>0.1096</v>
      </c>
      <c r="IK29" s="25">
        <v>0.1099</v>
      </c>
      <c r="IL29" s="25">
        <v>0.11</v>
      </c>
      <c r="IM29" s="24">
        <v>0.1103</v>
      </c>
      <c r="IN29" s="23">
        <v>0.1095</v>
      </c>
      <c r="IO29" s="22">
        <v>0.1109</v>
      </c>
      <c r="IP29" s="25">
        <v>0.108</v>
      </c>
      <c r="IQ29" s="25">
        <v>0.10680000000000001</v>
      </c>
      <c r="IR29" s="24">
        <v>0.106</v>
      </c>
      <c r="IS29" s="24">
        <v>0.1038</v>
      </c>
      <c r="IT29" s="24">
        <v>0.1022</v>
      </c>
      <c r="IU29" s="24">
        <v>0.1017</v>
      </c>
      <c r="IV29" s="25" t="s">
        <v>25</v>
      </c>
      <c r="IW29" s="25">
        <v>0.1007</v>
      </c>
      <c r="IX29" s="25" t="s">
        <v>25</v>
      </c>
      <c r="IY29" s="23" t="s">
        <v>25</v>
      </c>
      <c r="IZ29" s="22" t="s">
        <v>25</v>
      </c>
      <c r="JA29" s="22">
        <v>9.6799999999999997E-2</v>
      </c>
      <c r="JB29" s="22">
        <v>9.8599999999999993E-2</v>
      </c>
      <c r="JC29" s="24">
        <v>0.1007</v>
      </c>
      <c r="JD29" s="23">
        <v>0.10009999999999999</v>
      </c>
      <c r="JE29" s="22" t="s">
        <v>25</v>
      </c>
    </row>
    <row r="30" spans="1:265" ht="12.75" customHeight="1">
      <c r="A30" s="60"/>
      <c r="B30" s="60"/>
      <c r="C30" s="60"/>
      <c r="D30" s="29" t="s">
        <v>19</v>
      </c>
      <c r="E30" s="20">
        <v>28</v>
      </c>
      <c r="F30" s="19" t="s">
        <v>53</v>
      </c>
      <c r="G30" s="18">
        <v>9.9299999999999999E-2</v>
      </c>
      <c r="H30" s="18">
        <v>0.10009999999999999</v>
      </c>
      <c r="I30" s="18">
        <v>9.7000000000000003E-2</v>
      </c>
      <c r="J30" s="18">
        <v>9.6000000000000002E-2</v>
      </c>
      <c r="K30" s="18">
        <v>9.2499999999999999E-2</v>
      </c>
      <c r="L30" s="18">
        <v>8.6999999999999994E-2</v>
      </c>
      <c r="M30" s="18">
        <v>8.2799999999999999E-2</v>
      </c>
      <c r="N30" s="18">
        <v>8.1199999999999994E-2</v>
      </c>
      <c r="O30" s="18">
        <v>7.6799999999999993E-2</v>
      </c>
      <c r="P30" s="18">
        <v>7.7700000000000005E-2</v>
      </c>
      <c r="Q30" s="18">
        <v>7.8600000000000003E-2</v>
      </c>
      <c r="R30" s="18">
        <v>7.9000000000000001E-2</v>
      </c>
      <c r="S30" s="18">
        <v>7.5499999999999998E-2</v>
      </c>
      <c r="T30" s="18">
        <v>7.4099999999999999E-2</v>
      </c>
      <c r="U30" s="18">
        <v>7.1499999999999994E-2</v>
      </c>
      <c r="V30" s="18">
        <v>7.1199999999999999E-2</v>
      </c>
      <c r="W30" s="18">
        <v>6.7900000000000002E-2</v>
      </c>
      <c r="X30" s="18">
        <v>6.6699999999999995E-2</v>
      </c>
      <c r="Y30" s="18">
        <v>6.8000000000000005E-2</v>
      </c>
      <c r="Z30" s="18">
        <v>7.1599999999999997E-2</v>
      </c>
      <c r="AA30" s="18">
        <v>7.1800000000000003E-2</v>
      </c>
      <c r="AB30" s="18">
        <v>7.1199999999999999E-2</v>
      </c>
      <c r="AC30" s="18">
        <v>7.1199999999999999E-2</v>
      </c>
      <c r="AD30" s="18">
        <v>7.17E-2</v>
      </c>
      <c r="AE30" s="18">
        <v>7.0400000000000004E-2</v>
      </c>
      <c r="AF30" s="18">
        <v>7.0900000000000005E-2</v>
      </c>
      <c r="AG30" s="18">
        <v>7.2800000000000004E-2</v>
      </c>
      <c r="AH30" s="18">
        <v>7.3499999999999996E-2</v>
      </c>
      <c r="AI30" s="18">
        <v>7.1999999999999995E-2</v>
      </c>
      <c r="AJ30" s="18">
        <v>7.2999999999999995E-2</v>
      </c>
      <c r="AK30" s="18">
        <v>7.51E-2</v>
      </c>
      <c r="AL30" s="18">
        <v>7.5499999999999998E-2</v>
      </c>
      <c r="AM30" s="18">
        <v>7.4899999999999994E-2</v>
      </c>
      <c r="AN30" s="18">
        <v>7.8200000000000006E-2</v>
      </c>
      <c r="AO30" s="18">
        <v>7.8E-2</v>
      </c>
      <c r="AP30" s="18">
        <v>7.8799999999999995E-2</v>
      </c>
      <c r="AQ30" s="18">
        <v>8.1699999999999995E-2</v>
      </c>
      <c r="AR30" s="18">
        <v>8.4900000000000003E-2</v>
      </c>
      <c r="AS30" s="18">
        <v>8.6599999999999996E-2</v>
      </c>
      <c r="AT30" s="18">
        <v>9.3200000000000005E-2</v>
      </c>
      <c r="AU30" s="18">
        <v>9.3200000000000005E-2</v>
      </c>
      <c r="AV30" s="18">
        <v>9.5500000000000002E-2</v>
      </c>
      <c r="AW30" s="18">
        <v>9.3200000000000005E-2</v>
      </c>
      <c r="AX30" s="18">
        <v>9.74E-2</v>
      </c>
      <c r="AY30" s="18">
        <v>9.4700000000000006E-2</v>
      </c>
      <c r="AZ30" s="18">
        <v>9.69E-2</v>
      </c>
      <c r="BA30" s="18">
        <v>0.1042</v>
      </c>
      <c r="BB30" s="18">
        <v>0.1012</v>
      </c>
      <c r="BC30" s="18">
        <v>9.3700000000000006E-2</v>
      </c>
      <c r="BD30" s="18">
        <v>9.3200000000000005E-2</v>
      </c>
      <c r="BE30" s="18">
        <v>8.4199999999999997E-2</v>
      </c>
      <c r="BF30" s="18">
        <v>8.3699999999999997E-2</v>
      </c>
      <c r="BG30" s="18">
        <v>8.4699999999999998E-2</v>
      </c>
      <c r="BH30" s="18">
        <v>8.9399999999999993E-2</v>
      </c>
      <c r="BI30" s="18">
        <v>8.5900000000000004E-2</v>
      </c>
      <c r="BJ30" s="18">
        <v>8.6499999999999994E-2</v>
      </c>
      <c r="BK30" s="18">
        <v>8.8499999999999995E-2</v>
      </c>
      <c r="BL30" s="18">
        <v>8.6300000000000002E-2</v>
      </c>
      <c r="BM30" s="18">
        <v>8.4500000000000006E-2</v>
      </c>
      <c r="BN30" s="18">
        <v>8.6300000000000002E-2</v>
      </c>
      <c r="BO30" s="18">
        <v>8.4900000000000003E-2</v>
      </c>
      <c r="BP30" s="18">
        <v>8.9200000000000002E-2</v>
      </c>
      <c r="BQ30" s="18">
        <v>8.7400000000000005E-2</v>
      </c>
      <c r="BR30" s="18">
        <v>8.5099999999999995E-2</v>
      </c>
      <c r="BS30" s="18">
        <v>8.5800000000000001E-2</v>
      </c>
      <c r="BT30" s="18">
        <v>8.14E-2</v>
      </c>
      <c r="BU30" s="18">
        <v>8.3199999999999996E-2</v>
      </c>
      <c r="BV30" s="18">
        <v>8.1199999999999994E-2</v>
      </c>
      <c r="BW30" s="18">
        <v>8.3599999999999994E-2</v>
      </c>
      <c r="BX30" s="18">
        <v>8.2699999999999996E-2</v>
      </c>
      <c r="BY30" s="18">
        <v>8.0699999999999994E-2</v>
      </c>
      <c r="BZ30" s="18">
        <v>8.1799999999999998E-2</v>
      </c>
      <c r="CA30" s="18">
        <v>8.4900000000000003E-2</v>
      </c>
      <c r="CB30" s="18">
        <v>8.7900000000000006E-2</v>
      </c>
      <c r="CC30" s="18">
        <v>8.7099999999999997E-2</v>
      </c>
      <c r="CD30" s="18">
        <v>8.5000000000000006E-2</v>
      </c>
      <c r="CE30" s="18">
        <v>8.4400000000000003E-2</v>
      </c>
      <c r="CF30" s="18">
        <v>8.5999999999999993E-2</v>
      </c>
      <c r="CG30" s="18">
        <v>8.77E-2</v>
      </c>
      <c r="CH30" s="18">
        <v>8.6999999999999994E-2</v>
      </c>
      <c r="CI30" s="18">
        <v>9.1700000000000004E-2</v>
      </c>
      <c r="CJ30" s="18">
        <v>9.2100000000000001E-2</v>
      </c>
      <c r="CK30" s="18">
        <v>9.0300000000000005E-2</v>
      </c>
      <c r="CL30" s="18">
        <v>9.2499999999999999E-2</v>
      </c>
      <c r="CM30" s="18">
        <v>9.2999999999999999E-2</v>
      </c>
      <c r="CN30" s="18">
        <v>8.5800000000000001E-2</v>
      </c>
      <c r="CO30" s="18">
        <v>9.2399999999999996E-2</v>
      </c>
      <c r="CP30" s="18">
        <v>8.9200000000000002E-2</v>
      </c>
      <c r="CQ30" s="18">
        <v>9.1999999999999998E-2</v>
      </c>
      <c r="CR30" s="18">
        <v>9.1600000000000001E-2</v>
      </c>
      <c r="CS30" s="18">
        <v>9.3299999999999994E-2</v>
      </c>
      <c r="CT30" s="18">
        <v>9.3100000000000002E-2</v>
      </c>
      <c r="CU30" s="18">
        <v>9.7000000000000003E-2</v>
      </c>
      <c r="CV30" s="18">
        <v>9.1999999999999998E-2</v>
      </c>
      <c r="CW30" s="18">
        <v>8.8999999999999996E-2</v>
      </c>
      <c r="CX30" s="18">
        <v>8.3000000000000004E-2</v>
      </c>
      <c r="CY30" s="18">
        <v>8.6499999999999994E-2</v>
      </c>
      <c r="CZ30" s="18">
        <v>8.2400000000000001E-2</v>
      </c>
      <c r="DA30" s="18">
        <v>7.9399999999999998E-2</v>
      </c>
      <c r="DB30" s="18">
        <v>7.5899999999999995E-2</v>
      </c>
      <c r="DC30" s="18">
        <v>7.3899999999999993E-2</v>
      </c>
      <c r="DD30" s="18">
        <v>6.7400000000000002E-2</v>
      </c>
      <c r="DE30" s="18">
        <v>7.3300000000000004E-2</v>
      </c>
      <c r="DF30" s="18">
        <v>7.0400000000000004E-2</v>
      </c>
      <c r="DG30" s="18">
        <v>7.0199999999999999E-2</v>
      </c>
      <c r="DH30" s="18">
        <v>6.8900000000000003E-2</v>
      </c>
      <c r="DI30" s="18">
        <v>6.4199999999999993E-2</v>
      </c>
      <c r="DJ30" s="18">
        <v>6.7500000000000004E-2</v>
      </c>
      <c r="DK30" s="18">
        <v>7.22E-2</v>
      </c>
      <c r="DL30" s="18">
        <v>6.9400000000000003E-2</v>
      </c>
      <c r="DM30" s="18">
        <v>6.9099999999999995E-2</v>
      </c>
      <c r="DN30" s="18">
        <v>6.7699999999999996E-2</v>
      </c>
      <c r="DO30" s="18">
        <v>6.5000000000000002E-2</v>
      </c>
      <c r="DP30" s="18">
        <v>6.6600000000000006E-2</v>
      </c>
      <c r="DQ30" s="18">
        <v>6.7400000000000002E-2</v>
      </c>
      <c r="DR30" s="18">
        <v>6.7699999999999996E-2</v>
      </c>
      <c r="DS30" s="18">
        <v>6.3899999999999998E-2</v>
      </c>
      <c r="DT30" s="18">
        <v>6.2E-2</v>
      </c>
      <c r="DU30" s="18">
        <v>5.9299999999999999E-2</v>
      </c>
      <c r="DV30" s="18">
        <v>6.1400000000000003E-2</v>
      </c>
      <c r="DW30" s="18">
        <v>6.2700000000000006E-2</v>
      </c>
      <c r="DX30" s="18">
        <v>6.2199999999999998E-2</v>
      </c>
      <c r="DY30" s="18">
        <v>5.7700000000000001E-2</v>
      </c>
      <c r="DZ30" s="18">
        <v>5.5300000000000002E-2</v>
      </c>
      <c r="EA30" s="18">
        <v>5.5E-2</v>
      </c>
      <c r="EB30" s="18">
        <v>5.2400000000000002E-2</v>
      </c>
      <c r="EC30" s="18">
        <v>5.4199999999999998E-2</v>
      </c>
      <c r="ED30" s="18">
        <v>5.2499999999999998E-2</v>
      </c>
      <c r="EE30" s="18">
        <v>5.4699999999999999E-2</v>
      </c>
      <c r="EF30" s="18">
        <v>5.4800000000000001E-2</v>
      </c>
      <c r="EG30" s="18">
        <v>5.4800000000000001E-2</v>
      </c>
      <c r="EH30" s="18">
        <v>5.3400000000000003E-2</v>
      </c>
      <c r="EI30" s="18">
        <v>5.2900000000000003E-2</v>
      </c>
      <c r="EJ30" s="18">
        <v>5.7500000000000002E-2</v>
      </c>
      <c r="EK30" s="18">
        <v>5.6300000000000003E-2</v>
      </c>
      <c r="EL30" s="18">
        <v>5.3900000000000003E-2</v>
      </c>
      <c r="EM30" s="18">
        <v>5.7099999999999998E-2</v>
      </c>
      <c r="EN30" s="18">
        <v>5.5E-2</v>
      </c>
      <c r="EO30" s="18">
        <v>4.9200000000000001E-2</v>
      </c>
      <c r="EP30" s="18">
        <v>4.9200000000000001E-2</v>
      </c>
      <c r="EQ30" s="18">
        <v>5.2699999999999997E-2</v>
      </c>
      <c r="ER30" s="18">
        <v>5.3600000000000002E-2</v>
      </c>
      <c r="ES30" s="18">
        <v>5.1999999999999998E-2</v>
      </c>
      <c r="ET30" s="18">
        <v>5.3600000000000002E-2</v>
      </c>
      <c r="EU30" s="18">
        <v>5.4600000000000003E-2</v>
      </c>
      <c r="EV30" s="18">
        <v>5.7799999999999997E-2</v>
      </c>
      <c r="EW30" s="18">
        <v>5.5100000000000003E-2</v>
      </c>
      <c r="EX30" s="18">
        <v>5.6099999999999997E-2</v>
      </c>
      <c r="EY30" s="18">
        <v>5.8599999999999999E-2</v>
      </c>
      <c r="EZ30" s="18">
        <v>5.1799999999999999E-2</v>
      </c>
      <c r="FA30" s="18">
        <v>5.62E-2</v>
      </c>
      <c r="FB30" s="18">
        <v>5.6800000000000003E-2</v>
      </c>
      <c r="FC30" s="18">
        <v>6.2100000000000002E-2</v>
      </c>
      <c r="FD30" s="18">
        <v>5.4100000000000002E-2</v>
      </c>
      <c r="FE30" s="18">
        <v>5.5199999999999999E-2</v>
      </c>
      <c r="FF30" s="18">
        <v>5.1700000000000003E-2</v>
      </c>
      <c r="FG30" s="18">
        <v>5.3900000000000003E-2</v>
      </c>
      <c r="FH30" s="18">
        <v>5.67E-2</v>
      </c>
      <c r="FI30" s="18">
        <v>5.7700000000000001E-2</v>
      </c>
      <c r="FJ30" s="18">
        <v>5.5599999999999997E-2</v>
      </c>
      <c r="FK30" s="18">
        <v>5.9700000000000003E-2</v>
      </c>
      <c r="FL30" s="18">
        <v>5.4300000000000001E-2</v>
      </c>
      <c r="FM30" s="18">
        <v>6.0499999999999998E-2</v>
      </c>
      <c r="FN30" s="18">
        <v>5.6399999999999999E-2</v>
      </c>
      <c r="FO30" s="18">
        <v>5.6000000000000001E-2</v>
      </c>
      <c r="FP30" s="18">
        <v>5.74E-2</v>
      </c>
      <c r="FQ30" s="18">
        <v>5.7599999999999998E-2</v>
      </c>
      <c r="FR30" s="18">
        <v>5.0599999999999999E-2</v>
      </c>
      <c r="FS30" s="18">
        <v>6.25E-2</v>
      </c>
      <c r="FT30" s="18">
        <v>6.2100000000000002E-2</v>
      </c>
      <c r="FU30" s="18">
        <v>6.3E-2</v>
      </c>
      <c r="FV30" s="18">
        <v>6.1899999999999997E-2</v>
      </c>
      <c r="FW30" s="18">
        <v>6.1100000000000002E-2</v>
      </c>
      <c r="FX30" s="18">
        <v>5.9200000000000003E-2</v>
      </c>
      <c r="FY30" s="18">
        <v>6.3200000000000006E-2</v>
      </c>
      <c r="FZ30" s="17">
        <v>5.8900000000000001E-2</v>
      </c>
      <c r="GA30" s="13">
        <v>6.1499999999999999E-2</v>
      </c>
      <c r="GB30" s="13">
        <v>5.9400000000000001E-2</v>
      </c>
      <c r="GC30" s="13">
        <v>5.9799999999999999E-2</v>
      </c>
      <c r="GD30" s="13">
        <v>5.7200000000000001E-2</v>
      </c>
      <c r="GE30" s="13">
        <v>6.0499999999999998E-2</v>
      </c>
      <c r="GF30" s="13">
        <v>6.4100000000000004E-2</v>
      </c>
      <c r="GG30" s="18">
        <v>6.0199999999999997E-2</v>
      </c>
      <c r="GH30" s="17">
        <v>5.4800000000000001E-2</v>
      </c>
      <c r="GI30" s="17">
        <v>5.0500000000000003E-2</v>
      </c>
      <c r="GJ30" s="13">
        <v>4.8599999999999997E-2</v>
      </c>
      <c r="GK30" s="13">
        <v>4.6100000000000002E-2</v>
      </c>
      <c r="GL30" s="18">
        <v>4.2799999999999998E-2</v>
      </c>
      <c r="GM30" s="18">
        <v>4.6800000000000001E-2</v>
      </c>
      <c r="GN30" s="17">
        <v>4.8500000000000001E-2</v>
      </c>
      <c r="GO30" s="13">
        <v>4.9099999999999998E-2</v>
      </c>
      <c r="GP30" s="13">
        <v>4.5199999999999997E-2</v>
      </c>
      <c r="GQ30" s="13">
        <v>4.58E-2</v>
      </c>
      <c r="GR30" s="16">
        <v>4.4499999999999998E-2</v>
      </c>
      <c r="GS30" s="15">
        <v>4.9700000000000001E-2</v>
      </c>
      <c r="GT30" s="14">
        <v>4.5999999999999999E-2</v>
      </c>
      <c r="GU30" s="13">
        <v>4.41E-2</v>
      </c>
      <c r="GV30" s="16">
        <v>4.7300000000000002E-2</v>
      </c>
      <c r="GW30" s="15">
        <v>4.41E-2</v>
      </c>
      <c r="GX30" s="14">
        <v>4.6800000000000001E-2</v>
      </c>
      <c r="GY30" s="13">
        <v>4.5499999999999999E-2</v>
      </c>
      <c r="GZ30" s="13">
        <v>4.5100000000000001E-2</v>
      </c>
      <c r="HA30" s="16">
        <v>5.5E-2</v>
      </c>
      <c r="HB30" s="16">
        <v>6.3399999999999998E-2</v>
      </c>
      <c r="HC30" s="16">
        <v>7.5300000000000006E-2</v>
      </c>
      <c r="HD30" s="16">
        <v>8.3199999999999996E-2</v>
      </c>
      <c r="HE30" s="16">
        <v>8.5900000000000004E-2</v>
      </c>
      <c r="HF30" s="16">
        <v>9.9500000000000005E-2</v>
      </c>
      <c r="HG30" s="16">
        <v>0.10780000000000001</v>
      </c>
      <c r="HH30" s="16">
        <v>0.1186</v>
      </c>
      <c r="HI30" s="16">
        <v>0.1169</v>
      </c>
      <c r="HJ30" s="16">
        <v>0.10970000000000001</v>
      </c>
      <c r="HK30" s="16">
        <v>0.1149</v>
      </c>
      <c r="HL30" s="14">
        <v>0.115</v>
      </c>
      <c r="HM30" s="14">
        <v>0.1212</v>
      </c>
      <c r="HN30" s="14">
        <v>0.1188</v>
      </c>
      <c r="HO30" s="14">
        <v>0.11509999999999999</v>
      </c>
      <c r="HP30" s="14">
        <v>0.11799999999999999</v>
      </c>
      <c r="HQ30" s="14">
        <v>0.1143</v>
      </c>
      <c r="HR30" s="14">
        <v>0.11459999999999999</v>
      </c>
      <c r="HS30" s="14">
        <v>0.11459999999999999</v>
      </c>
      <c r="HT30" s="14">
        <v>0.1147</v>
      </c>
      <c r="HU30" s="14">
        <v>0.1152</v>
      </c>
      <c r="HV30" s="14">
        <v>0.1132</v>
      </c>
      <c r="HW30" s="14">
        <v>0.1094</v>
      </c>
      <c r="HX30" s="14">
        <v>0.1023</v>
      </c>
      <c r="HY30" s="13">
        <v>0.1056</v>
      </c>
      <c r="HZ30" s="16">
        <v>0.1008</v>
      </c>
      <c r="IA30" s="14">
        <v>0.1024</v>
      </c>
      <c r="IB30" s="14">
        <v>0.1056</v>
      </c>
      <c r="IC30" s="13">
        <v>0.1024</v>
      </c>
      <c r="ID30" s="13">
        <v>0.1061</v>
      </c>
      <c r="IE30" s="16">
        <v>0.10290000000000001</v>
      </c>
      <c r="IF30" s="15">
        <v>0.1023</v>
      </c>
      <c r="IG30" s="15">
        <v>9.98E-2</v>
      </c>
      <c r="IH30" s="15">
        <v>0.1037</v>
      </c>
      <c r="II30" s="16">
        <v>0.10639999999999999</v>
      </c>
      <c r="IJ30" s="16">
        <v>0.10639999999999999</v>
      </c>
      <c r="IK30" s="16">
        <v>0.1042</v>
      </c>
      <c r="IL30" s="16">
        <v>0.1036</v>
      </c>
      <c r="IM30" s="15">
        <v>9.9400000000000002E-2</v>
      </c>
      <c r="IN30" s="14">
        <v>0.10730000000000001</v>
      </c>
      <c r="IO30" s="13">
        <v>0.10630000000000001</v>
      </c>
      <c r="IP30" s="16">
        <v>0.1031</v>
      </c>
      <c r="IQ30" s="16">
        <v>9.01E-2</v>
      </c>
      <c r="IR30" s="15">
        <v>9.7199999999999995E-2</v>
      </c>
      <c r="IS30" s="15">
        <v>0.1008</v>
      </c>
      <c r="IT30" s="15">
        <v>9.5500000000000002E-2</v>
      </c>
      <c r="IU30" s="15">
        <v>9.0300000000000005E-2</v>
      </c>
      <c r="IV30" s="16">
        <v>9.35E-2</v>
      </c>
      <c r="IW30" s="16">
        <v>8.8400000000000006E-2</v>
      </c>
      <c r="IX30" s="16">
        <v>8.8499999999999995E-2</v>
      </c>
      <c r="IY30" s="14">
        <v>8.3400000000000002E-2</v>
      </c>
      <c r="IZ30" s="13">
        <v>8.8499999999999995E-2</v>
      </c>
      <c r="JA30" s="13">
        <v>8.5999999999999993E-2</v>
      </c>
      <c r="JB30" s="13">
        <v>7.6600000000000001E-2</v>
      </c>
      <c r="JC30" s="15">
        <v>8.5400000000000004E-2</v>
      </c>
      <c r="JD30" s="14">
        <v>8.2900000000000001E-2</v>
      </c>
      <c r="JE30" s="13">
        <v>8.4599999999999995E-2</v>
      </c>
    </row>
    <row r="31" spans="1:265" ht="12.75" customHeight="1">
      <c r="A31" s="60"/>
      <c r="B31" s="60"/>
      <c r="C31" s="59" t="s">
        <v>52</v>
      </c>
      <c r="D31" s="29" t="s">
        <v>32</v>
      </c>
      <c r="E31" s="20">
        <v>29</v>
      </c>
      <c r="F31" s="19" t="s">
        <v>51</v>
      </c>
      <c r="G31" s="27">
        <v>9.4399999999999998E-2</v>
      </c>
      <c r="H31" s="27">
        <v>9.6600000000000005E-2</v>
      </c>
      <c r="I31" s="27">
        <v>9.5200000000000007E-2</v>
      </c>
      <c r="J31" s="27">
        <v>8.0199999999999994E-2</v>
      </c>
      <c r="K31" s="27">
        <v>7.8600000000000003E-2</v>
      </c>
      <c r="L31" s="27">
        <v>7.8E-2</v>
      </c>
      <c r="M31" s="27">
        <v>7.8299999999999995E-2</v>
      </c>
      <c r="N31" s="27">
        <v>7.5200000000000003E-2</v>
      </c>
      <c r="O31" s="27">
        <v>6.5699999999999995E-2</v>
      </c>
      <c r="P31" s="27">
        <v>6.6299999999999998E-2</v>
      </c>
      <c r="Q31" s="27">
        <v>7.1499999999999994E-2</v>
      </c>
      <c r="R31" s="27">
        <v>6.7500000000000004E-2</v>
      </c>
      <c r="S31" s="27">
        <v>7.0199999999999999E-2</v>
      </c>
      <c r="T31" s="27">
        <v>6.5199999999999994E-2</v>
      </c>
      <c r="U31" s="27">
        <v>6.4199999999999993E-2</v>
      </c>
      <c r="V31" s="27">
        <v>6.8199999999999997E-2</v>
      </c>
      <c r="W31" s="27">
        <v>6.59E-2</v>
      </c>
      <c r="X31" s="27">
        <v>6.54E-2</v>
      </c>
      <c r="Y31" s="27">
        <v>5.7299999999999997E-2</v>
      </c>
      <c r="Z31" s="27">
        <v>6.54E-2</v>
      </c>
      <c r="AA31" s="27">
        <v>6.8000000000000005E-2</v>
      </c>
      <c r="AB31" s="27">
        <v>7.0099999999999996E-2</v>
      </c>
      <c r="AC31" s="27">
        <v>6.9000000000000006E-2</v>
      </c>
      <c r="AD31" s="27">
        <v>6.3700000000000007E-2</v>
      </c>
      <c r="AE31" s="27">
        <v>6.3700000000000007E-2</v>
      </c>
      <c r="AF31" s="27">
        <v>6.2899999999999998E-2</v>
      </c>
      <c r="AG31" s="27">
        <v>6.5000000000000002E-2</v>
      </c>
      <c r="AH31" s="27">
        <v>6.3600000000000004E-2</v>
      </c>
      <c r="AI31" s="27">
        <v>7.3499999999999996E-2</v>
      </c>
      <c r="AJ31" s="27">
        <v>7.0499999999999993E-2</v>
      </c>
      <c r="AK31" s="27">
        <v>6.8599999999999994E-2</v>
      </c>
      <c r="AL31" s="27">
        <v>7.2099999999999997E-2</v>
      </c>
      <c r="AM31" s="27">
        <v>6.6699999999999995E-2</v>
      </c>
      <c r="AN31" s="27">
        <v>7.22E-2</v>
      </c>
      <c r="AO31" s="27">
        <v>7.3400000000000007E-2</v>
      </c>
      <c r="AP31" s="27">
        <v>7.7499999999999999E-2</v>
      </c>
      <c r="AQ31" s="27">
        <v>7.7200000000000005E-2</v>
      </c>
      <c r="AR31" s="27">
        <v>8.1900000000000001E-2</v>
      </c>
      <c r="AS31" s="27">
        <v>8.4099999999999994E-2</v>
      </c>
      <c r="AT31" s="27">
        <v>8.3400000000000002E-2</v>
      </c>
      <c r="AU31" s="27">
        <v>8.72E-2</v>
      </c>
      <c r="AV31" s="27">
        <v>8.1799999999999998E-2</v>
      </c>
      <c r="AW31" s="27">
        <v>8.7800000000000003E-2</v>
      </c>
      <c r="AX31" s="27">
        <v>9.01E-2</v>
      </c>
      <c r="AY31" s="27">
        <v>9.0800000000000006E-2</v>
      </c>
      <c r="AZ31" s="27">
        <v>8.8599999999999998E-2</v>
      </c>
      <c r="BA31" s="27">
        <v>9.4899999999999998E-2</v>
      </c>
      <c r="BB31" s="27">
        <v>9.8699999999999996E-2</v>
      </c>
      <c r="BC31" s="27">
        <v>9.8199999999999996E-2</v>
      </c>
      <c r="BD31" s="27">
        <v>9.3799999999999994E-2</v>
      </c>
      <c r="BE31" s="27">
        <v>9.1899999999999996E-2</v>
      </c>
      <c r="BF31" s="27">
        <v>8.7099999999999997E-2</v>
      </c>
      <c r="BG31" s="27">
        <v>8.6800000000000002E-2</v>
      </c>
      <c r="BH31" s="27">
        <v>8.1500000000000003E-2</v>
      </c>
      <c r="BI31" s="27">
        <v>8.3900000000000002E-2</v>
      </c>
      <c r="BJ31" s="27">
        <v>8.3400000000000002E-2</v>
      </c>
      <c r="BK31" s="27">
        <v>8.8900000000000007E-2</v>
      </c>
      <c r="BL31" s="27">
        <v>6.6299999999999998E-2</v>
      </c>
      <c r="BM31" s="27">
        <v>8.3199999999999996E-2</v>
      </c>
      <c r="BN31" s="27">
        <v>7.9299999999999995E-2</v>
      </c>
      <c r="BO31" s="27">
        <v>8.3599999999999994E-2</v>
      </c>
      <c r="BP31" s="27">
        <v>8.7800000000000003E-2</v>
      </c>
      <c r="BQ31" s="27">
        <v>8.1900000000000001E-2</v>
      </c>
      <c r="BR31" s="27">
        <v>8.0699999999999994E-2</v>
      </c>
      <c r="BS31" s="27">
        <v>8.0299999999999996E-2</v>
      </c>
      <c r="BT31" s="27">
        <v>7.9100000000000004E-2</v>
      </c>
      <c r="BU31" s="27">
        <v>7.9299999999999995E-2</v>
      </c>
      <c r="BV31" s="27">
        <v>8.6800000000000002E-2</v>
      </c>
      <c r="BW31" s="27">
        <v>8.6599999999999996E-2</v>
      </c>
      <c r="BX31" s="27">
        <v>8.3799999999999999E-2</v>
      </c>
      <c r="BY31" s="27">
        <v>8.14E-2</v>
      </c>
      <c r="BZ31" s="27">
        <v>8.0799999999999997E-2</v>
      </c>
      <c r="CA31" s="27">
        <v>7.4700000000000003E-2</v>
      </c>
      <c r="CB31" s="27">
        <v>7.4200000000000002E-2</v>
      </c>
      <c r="CC31" s="27">
        <v>7.9000000000000001E-2</v>
      </c>
      <c r="CD31" s="27">
        <v>8.4199999999999997E-2</v>
      </c>
      <c r="CE31" s="27">
        <v>8.4599999999999995E-2</v>
      </c>
      <c r="CF31" s="27">
        <v>8.6999999999999994E-2</v>
      </c>
      <c r="CG31" s="27">
        <v>8.5800000000000001E-2</v>
      </c>
      <c r="CH31" s="27">
        <v>8.9599999999999999E-2</v>
      </c>
      <c r="CI31" s="27">
        <v>8.4699999999999998E-2</v>
      </c>
      <c r="CJ31" s="27">
        <v>8.2900000000000001E-2</v>
      </c>
      <c r="CK31" s="27">
        <v>8.3500000000000005E-2</v>
      </c>
      <c r="CL31" s="27">
        <v>8.3699999999999997E-2</v>
      </c>
      <c r="CM31" s="27">
        <v>7.9299999999999995E-2</v>
      </c>
      <c r="CN31" s="27">
        <v>8.0399999999999999E-2</v>
      </c>
      <c r="CO31" s="27">
        <v>8.5199999999999998E-2</v>
      </c>
      <c r="CP31" s="27">
        <v>8.2199999999999995E-2</v>
      </c>
      <c r="CQ31" s="27">
        <v>8.8200000000000001E-2</v>
      </c>
      <c r="CR31" s="27">
        <v>8.7300000000000003E-2</v>
      </c>
      <c r="CS31" s="27">
        <v>8.9200000000000002E-2</v>
      </c>
      <c r="CT31" s="27">
        <v>8.8099999999999998E-2</v>
      </c>
      <c r="CU31" s="27">
        <v>8.7599999999999997E-2</v>
      </c>
      <c r="CV31" s="27">
        <v>8.8700000000000001E-2</v>
      </c>
      <c r="CW31" s="27">
        <v>8.7800000000000003E-2</v>
      </c>
      <c r="CX31" s="27">
        <v>8.2000000000000003E-2</v>
      </c>
      <c r="CY31" s="27">
        <v>7.6499999999999999E-2</v>
      </c>
      <c r="CZ31" s="27">
        <v>7.3499999999999996E-2</v>
      </c>
      <c r="DA31" s="27">
        <v>7.6100000000000001E-2</v>
      </c>
      <c r="DB31" s="27">
        <v>7.5200000000000003E-2</v>
      </c>
      <c r="DC31" s="27">
        <v>7.3499999999999996E-2</v>
      </c>
      <c r="DD31" s="27">
        <v>7.3200000000000001E-2</v>
      </c>
      <c r="DE31" s="27">
        <v>6.6699999999999995E-2</v>
      </c>
      <c r="DF31" s="27">
        <v>6.7699999999999996E-2</v>
      </c>
      <c r="DG31" s="27">
        <v>6.8599999999999994E-2</v>
      </c>
      <c r="DH31" s="27">
        <v>6.9000000000000006E-2</v>
      </c>
      <c r="DI31" s="27">
        <v>6.8000000000000005E-2</v>
      </c>
      <c r="DJ31" s="27">
        <v>6.6699999999999995E-2</v>
      </c>
      <c r="DK31" s="27">
        <v>6.4199999999999993E-2</v>
      </c>
      <c r="DL31" s="27">
        <v>6.6000000000000003E-2</v>
      </c>
      <c r="DM31" s="27">
        <v>7.0999999999999994E-2</v>
      </c>
      <c r="DN31" s="27">
        <v>7.4399999999999994E-2</v>
      </c>
      <c r="DO31" s="27">
        <v>7.7100000000000002E-2</v>
      </c>
      <c r="DP31" s="27">
        <v>7.1300000000000002E-2</v>
      </c>
      <c r="DQ31" s="27">
        <v>7.0800000000000002E-2</v>
      </c>
      <c r="DR31" s="27">
        <v>7.1599999999999997E-2</v>
      </c>
      <c r="DS31" s="27">
        <v>7.0900000000000005E-2</v>
      </c>
      <c r="DT31" s="27">
        <v>6.6299999999999998E-2</v>
      </c>
      <c r="DU31" s="27">
        <v>6.3799999999999996E-2</v>
      </c>
      <c r="DV31" s="27">
        <v>6.0100000000000001E-2</v>
      </c>
      <c r="DW31" s="27">
        <v>6.1100000000000002E-2</v>
      </c>
      <c r="DX31" s="27">
        <v>6.08E-2</v>
      </c>
      <c r="DY31" s="27">
        <v>5.7299999999999997E-2</v>
      </c>
      <c r="DZ31" s="27">
        <v>6.0499999999999998E-2</v>
      </c>
      <c r="EA31" s="27">
        <v>5.9700000000000003E-2</v>
      </c>
      <c r="EB31" s="27">
        <v>5.8099999999999999E-2</v>
      </c>
      <c r="EC31" s="27">
        <v>5.45E-2</v>
      </c>
      <c r="ED31" s="27">
        <v>5.5800000000000002E-2</v>
      </c>
      <c r="EE31" s="27">
        <v>5.1200000000000002E-2</v>
      </c>
      <c r="EF31" s="27">
        <v>5.3400000000000003E-2</v>
      </c>
      <c r="EG31" s="27">
        <v>5.3600000000000002E-2</v>
      </c>
      <c r="EH31" s="27">
        <v>5.0099999999999999E-2</v>
      </c>
      <c r="EI31" s="27">
        <v>5.6800000000000003E-2</v>
      </c>
      <c r="EJ31" s="27">
        <v>5.74E-2</v>
      </c>
      <c r="EK31" s="27">
        <v>5.4100000000000002E-2</v>
      </c>
      <c r="EL31" s="27">
        <v>4.99E-2</v>
      </c>
      <c r="EM31" s="27">
        <v>5.7599999999999998E-2</v>
      </c>
      <c r="EN31" s="27">
        <v>4.9599999999999998E-2</v>
      </c>
      <c r="EO31" s="27">
        <v>5.3199999999999997E-2</v>
      </c>
      <c r="EP31" s="27">
        <v>4.07E-2</v>
      </c>
      <c r="EQ31" s="27">
        <v>5.3699999999999998E-2</v>
      </c>
      <c r="ER31" s="27">
        <v>5.4899999999999997E-2</v>
      </c>
      <c r="ES31" s="27">
        <v>6.1800000000000001E-2</v>
      </c>
      <c r="ET31" s="27">
        <v>6.08E-2</v>
      </c>
      <c r="EU31" s="27">
        <v>5.7099999999999998E-2</v>
      </c>
      <c r="EV31" s="27">
        <v>6.25E-2</v>
      </c>
      <c r="EW31" s="27">
        <v>6.1199999999999997E-2</v>
      </c>
      <c r="EX31" s="27">
        <v>5.3800000000000001E-2</v>
      </c>
      <c r="EY31" s="27">
        <v>5.4699999999999999E-2</v>
      </c>
      <c r="EZ31" s="27">
        <v>4.99E-2</v>
      </c>
      <c r="FA31" s="27">
        <v>5.3699999999999998E-2</v>
      </c>
      <c r="FB31" s="27">
        <v>5.5199999999999999E-2</v>
      </c>
      <c r="FC31" s="27">
        <v>5.3499999999999999E-2</v>
      </c>
      <c r="FD31" s="27">
        <v>5.1400000000000001E-2</v>
      </c>
      <c r="FE31" s="27">
        <v>5.1700000000000003E-2</v>
      </c>
      <c r="FF31" s="27">
        <v>5.0200000000000002E-2</v>
      </c>
      <c r="FG31" s="27">
        <v>5.6399999999999999E-2</v>
      </c>
      <c r="FH31" s="27">
        <v>5.8599999999999999E-2</v>
      </c>
      <c r="FI31" s="27">
        <v>5.5800000000000002E-2</v>
      </c>
      <c r="FJ31" s="27">
        <v>5.5899999999999998E-2</v>
      </c>
      <c r="FK31" s="27">
        <v>5.1200000000000002E-2</v>
      </c>
      <c r="FL31" s="27">
        <v>5.4899999999999997E-2</v>
      </c>
      <c r="FM31" s="27">
        <v>5.57E-2</v>
      </c>
      <c r="FN31" s="27">
        <v>5.2900000000000003E-2</v>
      </c>
      <c r="FO31" s="27">
        <v>5.4100000000000002E-2</v>
      </c>
      <c r="FP31" s="27">
        <v>4.8899999999999999E-2</v>
      </c>
      <c r="FQ31" s="27">
        <v>5.3900000000000003E-2</v>
      </c>
      <c r="FR31" s="27">
        <v>5.3499999999999999E-2</v>
      </c>
      <c r="FS31" s="27">
        <v>5.5300000000000002E-2</v>
      </c>
      <c r="FT31" s="27">
        <v>5.2600000000000001E-2</v>
      </c>
      <c r="FU31" s="27">
        <v>5.0599999999999999E-2</v>
      </c>
      <c r="FV31" s="27">
        <v>5.0500000000000003E-2</v>
      </c>
      <c r="FW31" s="27">
        <v>5.3900000000000003E-2</v>
      </c>
      <c r="FX31" s="27">
        <v>5.5199999999999999E-2</v>
      </c>
      <c r="FY31" s="27">
        <v>5.1700000000000003E-2</v>
      </c>
      <c r="FZ31" s="26">
        <v>4.9200000000000001E-2</v>
      </c>
      <c r="GA31" s="22">
        <v>5.1299999999999998E-2</v>
      </c>
      <c r="GB31" s="22">
        <v>5.28E-2</v>
      </c>
      <c r="GC31" s="22">
        <v>5.45E-2</v>
      </c>
      <c r="GD31" s="22">
        <v>5.3499999999999999E-2</v>
      </c>
      <c r="GE31" s="22">
        <v>5.8299999999999998E-2</v>
      </c>
      <c r="GF31" s="22">
        <v>5.6399999999999999E-2</v>
      </c>
      <c r="GG31" s="27">
        <v>4.9700000000000001E-2</v>
      </c>
      <c r="GH31" s="26">
        <v>4.9000000000000002E-2</v>
      </c>
      <c r="GI31" s="26">
        <v>4.6399999999999997E-2</v>
      </c>
      <c r="GJ31" s="22">
        <v>4.7100000000000003E-2</v>
      </c>
      <c r="GK31" s="22">
        <v>4.2299999999999997E-2</v>
      </c>
      <c r="GL31" s="27">
        <v>4.1799999999999997E-2</v>
      </c>
      <c r="GM31" s="27">
        <v>3.8300000000000001E-2</v>
      </c>
      <c r="GN31" s="26">
        <v>4.3499999999999997E-2</v>
      </c>
      <c r="GO31" s="22">
        <v>3.8199999999999998E-2</v>
      </c>
      <c r="GP31" s="22">
        <v>3.78E-2</v>
      </c>
      <c r="GQ31" s="22">
        <v>4.3299999999999998E-2</v>
      </c>
      <c r="GR31" s="25">
        <v>3.6900000000000002E-2</v>
      </c>
      <c r="GS31" s="24">
        <v>4.0800000000000003E-2</v>
      </c>
      <c r="GT31" s="23">
        <v>4.3299999999999998E-2</v>
      </c>
      <c r="GU31" s="22">
        <v>3.6900000000000002E-2</v>
      </c>
      <c r="GV31" s="25">
        <v>4.0899999999999999E-2</v>
      </c>
      <c r="GW31" s="24">
        <v>3.5900000000000001E-2</v>
      </c>
      <c r="GX31" s="23">
        <v>5.0999999999999997E-2</v>
      </c>
      <c r="GY31" s="22">
        <v>3.8699999999999998E-2</v>
      </c>
      <c r="GZ31" s="22">
        <v>3.44E-2</v>
      </c>
      <c r="HA31" s="25">
        <v>4.4999999999999998E-2</v>
      </c>
      <c r="HB31" s="25">
        <v>5.5899999999999998E-2</v>
      </c>
      <c r="HC31" s="25">
        <v>6.1600000000000002E-2</v>
      </c>
      <c r="HD31" s="25">
        <v>6.7299999999999999E-2</v>
      </c>
      <c r="HE31" s="25">
        <v>7.4700000000000003E-2</v>
      </c>
      <c r="HF31" s="25">
        <v>8.1799999999999998E-2</v>
      </c>
      <c r="HG31" s="25">
        <v>8.4199999999999997E-2</v>
      </c>
      <c r="HH31" s="25">
        <v>9.1499999999999998E-2</v>
      </c>
      <c r="HI31" s="25">
        <v>0.10059999999999999</v>
      </c>
      <c r="HJ31" s="25">
        <v>0.10009999999999999</v>
      </c>
      <c r="HK31" s="25">
        <v>0.1</v>
      </c>
      <c r="HL31" s="23">
        <v>0.104</v>
      </c>
      <c r="HM31" s="23">
        <v>0.1047</v>
      </c>
      <c r="HN31" s="23">
        <v>0.1037</v>
      </c>
      <c r="HO31" s="23">
        <v>9.8199999999999996E-2</v>
      </c>
      <c r="HP31" s="23">
        <v>0.1013</v>
      </c>
      <c r="HQ31" s="23">
        <v>0.1018</v>
      </c>
      <c r="HR31" s="23">
        <v>0.10290000000000001</v>
      </c>
      <c r="HS31" s="23">
        <v>0.1022</v>
      </c>
      <c r="HT31" s="23">
        <v>0.1</v>
      </c>
      <c r="HU31" s="23">
        <v>9.8400000000000001E-2</v>
      </c>
      <c r="HV31" s="23">
        <v>9.7500000000000003E-2</v>
      </c>
      <c r="HW31" s="23">
        <v>9.64E-2</v>
      </c>
      <c r="HX31" s="23">
        <v>9.3299999999999994E-2</v>
      </c>
      <c r="HY31" s="22">
        <v>9.5200000000000007E-2</v>
      </c>
      <c r="HZ31" s="25">
        <v>0.1002</v>
      </c>
      <c r="IA31" s="23">
        <v>9.3700000000000006E-2</v>
      </c>
      <c r="IB31" s="23">
        <v>9.11E-2</v>
      </c>
      <c r="IC31" s="22">
        <v>9.1899999999999996E-2</v>
      </c>
      <c r="ID31" s="22">
        <v>8.8900000000000007E-2</v>
      </c>
      <c r="IE31" s="25">
        <v>9.0499999999999997E-2</v>
      </c>
      <c r="IF31" s="24">
        <v>8.8999999999999996E-2</v>
      </c>
      <c r="IG31" s="24">
        <v>9.2499999999999999E-2</v>
      </c>
      <c r="IH31" s="24">
        <v>8.6499999999999994E-2</v>
      </c>
      <c r="II31" s="25">
        <v>9.2799999999999994E-2</v>
      </c>
      <c r="IJ31" s="25">
        <v>8.8999999999999996E-2</v>
      </c>
      <c r="IK31" s="25">
        <v>8.8800000000000004E-2</v>
      </c>
      <c r="IL31" s="25">
        <v>9.1300000000000006E-2</v>
      </c>
      <c r="IM31" s="24">
        <v>9.06E-2</v>
      </c>
      <c r="IN31" s="23">
        <v>9.1499999999999998E-2</v>
      </c>
      <c r="IO31" s="22">
        <v>9.0899999999999995E-2</v>
      </c>
      <c r="IP31" s="25">
        <v>9.1999999999999998E-2</v>
      </c>
      <c r="IQ31" s="25">
        <v>8.5599999999999996E-2</v>
      </c>
      <c r="IR31" s="24">
        <v>8.5800000000000001E-2</v>
      </c>
      <c r="IS31" s="24">
        <v>8.3000000000000004E-2</v>
      </c>
      <c r="IT31" s="24">
        <v>8.3099999999999993E-2</v>
      </c>
      <c r="IU31" s="24">
        <v>7.8100000000000003E-2</v>
      </c>
      <c r="IV31" s="25">
        <v>7.5800000000000006E-2</v>
      </c>
      <c r="IW31" s="25">
        <v>7.6200000000000004E-2</v>
      </c>
      <c r="IX31" s="25">
        <v>7.5399999999999995E-2</v>
      </c>
      <c r="IY31" s="23">
        <v>7.0400000000000004E-2</v>
      </c>
      <c r="IZ31" s="23">
        <v>7.4800000000000005E-2</v>
      </c>
      <c r="JA31" s="22">
        <v>7.17E-2</v>
      </c>
      <c r="JB31" s="22">
        <v>6.9000000000000006E-2</v>
      </c>
      <c r="JC31" s="24">
        <v>6.7199999999999996E-2</v>
      </c>
      <c r="JD31" s="23">
        <v>6.8699999999999997E-2</v>
      </c>
      <c r="JE31" s="22">
        <v>6.7900000000000002E-2</v>
      </c>
    </row>
    <row r="32" spans="1:265" ht="12.75" customHeight="1">
      <c r="A32" s="60"/>
      <c r="B32" s="60"/>
      <c r="C32" s="60"/>
      <c r="D32" s="29" t="s">
        <v>30</v>
      </c>
      <c r="E32" s="20">
        <v>30</v>
      </c>
      <c r="F32" s="19" t="s">
        <v>50</v>
      </c>
      <c r="G32" s="18">
        <v>9.35E-2</v>
      </c>
      <c r="H32" s="18">
        <v>9.0700000000000003E-2</v>
      </c>
      <c r="I32" s="18">
        <v>0.1022</v>
      </c>
      <c r="J32" s="18">
        <v>9.4700000000000006E-2</v>
      </c>
      <c r="K32" s="18">
        <v>8.2000000000000003E-2</v>
      </c>
      <c r="L32" s="18">
        <v>8.6699999999999999E-2</v>
      </c>
      <c r="M32" s="18">
        <v>8.7599999999999997E-2</v>
      </c>
      <c r="N32" s="18">
        <v>9.0999999999999998E-2</v>
      </c>
      <c r="O32" s="18">
        <v>6.6900000000000001E-2</v>
      </c>
      <c r="P32" s="18">
        <v>6.4399999999999999E-2</v>
      </c>
      <c r="Q32" s="18">
        <v>9.4200000000000006E-2</v>
      </c>
      <c r="R32" s="18">
        <v>6.59E-2</v>
      </c>
      <c r="S32" s="18">
        <v>6.5500000000000003E-2</v>
      </c>
      <c r="T32" s="18">
        <v>6.1199999999999997E-2</v>
      </c>
      <c r="U32" s="18">
        <v>8.6300000000000002E-2</v>
      </c>
      <c r="V32" s="18">
        <v>0.1027</v>
      </c>
      <c r="W32" s="18">
        <v>9.6100000000000005E-2</v>
      </c>
      <c r="X32" s="18">
        <v>9.4600000000000004E-2</v>
      </c>
      <c r="Y32" s="18">
        <v>9.7100000000000006E-2</v>
      </c>
      <c r="Z32" s="18">
        <v>8.09E-2</v>
      </c>
      <c r="AA32" s="18">
        <v>5.4199999999999998E-2</v>
      </c>
      <c r="AB32" s="18">
        <v>7.8399999999999997E-2</v>
      </c>
      <c r="AC32" s="18">
        <v>7.9899999999999999E-2</v>
      </c>
      <c r="AD32" s="18">
        <v>3.3799999999999997E-2</v>
      </c>
      <c r="AE32" s="18">
        <v>5.1499999999999997E-2</v>
      </c>
      <c r="AF32" s="18">
        <v>6.13E-2</v>
      </c>
      <c r="AG32" s="18">
        <v>9.7299999999999998E-2</v>
      </c>
      <c r="AH32" s="18">
        <v>4.4000000000000003E-3</v>
      </c>
      <c r="AI32" s="18">
        <v>7.8E-2</v>
      </c>
      <c r="AJ32" s="18">
        <v>5.1799999999999999E-2</v>
      </c>
      <c r="AK32" s="18">
        <v>6.4500000000000002E-2</v>
      </c>
      <c r="AL32" s="18">
        <v>8.6300000000000002E-2</v>
      </c>
      <c r="AM32" s="18">
        <v>9.2899999999999996E-2</v>
      </c>
      <c r="AN32" s="18">
        <v>8.5900000000000004E-2</v>
      </c>
      <c r="AO32" s="18">
        <v>8.1699999999999995E-2</v>
      </c>
      <c r="AP32" s="18">
        <v>8.2500000000000004E-2</v>
      </c>
      <c r="AQ32" s="18">
        <v>7.51E-2</v>
      </c>
      <c r="AR32" s="18">
        <v>7.9000000000000001E-2</v>
      </c>
      <c r="AS32" s="18">
        <v>9.6299999999999997E-2</v>
      </c>
      <c r="AT32" s="18">
        <v>9.5500000000000002E-2</v>
      </c>
      <c r="AU32" s="18">
        <v>0.1036</v>
      </c>
      <c r="AV32" s="18">
        <v>9.3399999999999997E-2</v>
      </c>
      <c r="AW32" s="18">
        <v>9.0899999999999995E-2</v>
      </c>
      <c r="AX32" s="18">
        <v>0.112</v>
      </c>
      <c r="AY32" s="18">
        <v>9.8199999999999996E-2</v>
      </c>
      <c r="AZ32" s="18">
        <v>0.1147</v>
      </c>
      <c r="BA32" s="18">
        <v>0.1024</v>
      </c>
      <c r="BB32" s="18">
        <v>9.6600000000000005E-2</v>
      </c>
      <c r="BC32" s="18">
        <v>0.1018</v>
      </c>
      <c r="BD32" s="18">
        <v>9.1899999999999996E-2</v>
      </c>
      <c r="BE32" s="18">
        <v>6.5799999999999997E-2</v>
      </c>
      <c r="BF32" s="18">
        <v>7.4499999999999997E-2</v>
      </c>
      <c r="BG32" s="18">
        <v>7.0599999999999996E-2</v>
      </c>
      <c r="BH32" s="18">
        <v>7.3999999999999996E-2</v>
      </c>
      <c r="BI32" s="18">
        <v>7.8799999999999995E-2</v>
      </c>
      <c r="BJ32" s="18">
        <v>6.9000000000000006E-2</v>
      </c>
      <c r="BK32" s="18">
        <v>6.88E-2</v>
      </c>
      <c r="BL32" s="18">
        <v>8.5800000000000001E-2</v>
      </c>
      <c r="BM32" s="18">
        <v>7.1099999999999997E-2</v>
      </c>
      <c r="BN32" s="18">
        <v>7.5999999999999998E-2</v>
      </c>
      <c r="BO32" s="18">
        <v>7.8200000000000006E-2</v>
      </c>
      <c r="BP32" s="18">
        <v>7.1099999999999997E-2</v>
      </c>
      <c r="BQ32" s="18">
        <v>6.7299999999999999E-2</v>
      </c>
      <c r="BR32" s="18">
        <v>7.8299999999999995E-2</v>
      </c>
      <c r="BS32" s="18">
        <v>7.2800000000000004E-2</v>
      </c>
      <c r="BT32" s="18">
        <v>7.2300000000000003E-2</v>
      </c>
      <c r="BU32" s="18">
        <v>6.93E-2</v>
      </c>
      <c r="BV32" s="18">
        <v>7.1099999999999997E-2</v>
      </c>
      <c r="BW32" s="18">
        <v>7.0599999999999996E-2</v>
      </c>
      <c r="BX32" s="18">
        <v>6.8400000000000002E-2</v>
      </c>
      <c r="BY32" s="18">
        <v>7.0400000000000004E-2</v>
      </c>
      <c r="BZ32" s="18">
        <v>7.0300000000000001E-2</v>
      </c>
      <c r="CA32" s="18" t="s">
        <v>25</v>
      </c>
      <c r="CB32" s="18">
        <v>7.5200000000000003E-2</v>
      </c>
      <c r="CC32" s="18" t="s">
        <v>25</v>
      </c>
      <c r="CD32" s="18" t="s">
        <v>25</v>
      </c>
      <c r="CE32" s="18" t="s">
        <v>25</v>
      </c>
      <c r="CF32" s="18" t="s">
        <v>25</v>
      </c>
      <c r="CG32" s="18" t="s">
        <v>25</v>
      </c>
      <c r="CH32" s="18" t="s">
        <v>25</v>
      </c>
      <c r="CI32" s="18" t="s">
        <v>25</v>
      </c>
      <c r="CJ32" s="18" t="s">
        <v>25</v>
      </c>
      <c r="CK32" s="18" t="s">
        <v>25</v>
      </c>
      <c r="CL32" s="18" t="s">
        <v>25</v>
      </c>
      <c r="CM32" s="18" t="s">
        <v>25</v>
      </c>
      <c r="CN32" s="18" t="s">
        <v>25</v>
      </c>
      <c r="CO32" s="18" t="s">
        <v>25</v>
      </c>
      <c r="CP32" s="18" t="s">
        <v>25</v>
      </c>
      <c r="CQ32" s="18" t="s">
        <v>25</v>
      </c>
      <c r="CR32" s="18" t="s">
        <v>25</v>
      </c>
      <c r="CS32" s="18" t="s">
        <v>25</v>
      </c>
      <c r="CT32" s="18" t="s">
        <v>25</v>
      </c>
      <c r="CU32" s="18" t="s">
        <v>25</v>
      </c>
      <c r="CV32" s="18" t="s">
        <v>25</v>
      </c>
      <c r="CW32" s="18" t="s">
        <v>25</v>
      </c>
      <c r="CX32" s="18" t="s">
        <v>25</v>
      </c>
      <c r="CY32" s="18" t="s">
        <v>25</v>
      </c>
      <c r="CZ32" s="18" t="s">
        <v>25</v>
      </c>
      <c r="DA32" s="18" t="s">
        <v>25</v>
      </c>
      <c r="DB32" s="18" t="s">
        <v>25</v>
      </c>
      <c r="DC32" s="18" t="s">
        <v>25</v>
      </c>
      <c r="DD32" s="18" t="s">
        <v>25</v>
      </c>
      <c r="DE32" s="18" t="s">
        <v>25</v>
      </c>
      <c r="DF32" s="18" t="s">
        <v>25</v>
      </c>
      <c r="DG32" s="18" t="s">
        <v>25</v>
      </c>
      <c r="DH32" s="18" t="s">
        <v>25</v>
      </c>
      <c r="DI32" s="18" t="s">
        <v>25</v>
      </c>
      <c r="DJ32" s="18" t="s">
        <v>25</v>
      </c>
      <c r="DK32" s="18" t="s">
        <v>25</v>
      </c>
      <c r="DL32" s="18" t="s">
        <v>25</v>
      </c>
      <c r="DM32" s="18" t="s">
        <v>25</v>
      </c>
      <c r="DN32" s="18" t="s">
        <v>25</v>
      </c>
      <c r="DO32" s="18" t="s">
        <v>25</v>
      </c>
      <c r="DP32" s="18" t="s">
        <v>25</v>
      </c>
      <c r="DQ32" s="18" t="s">
        <v>25</v>
      </c>
      <c r="DR32" s="18" t="s">
        <v>25</v>
      </c>
      <c r="DS32" s="18" t="s">
        <v>25</v>
      </c>
      <c r="DT32" s="18" t="s">
        <v>25</v>
      </c>
      <c r="DU32" s="18" t="s">
        <v>25</v>
      </c>
      <c r="DV32" s="18">
        <v>5.74E-2</v>
      </c>
      <c r="DW32" s="18" t="s">
        <v>25</v>
      </c>
      <c r="DX32" s="18" t="s">
        <v>25</v>
      </c>
      <c r="DY32" s="18" t="s">
        <v>25</v>
      </c>
      <c r="DZ32" s="18" t="s">
        <v>25</v>
      </c>
      <c r="EA32" s="18">
        <v>3.95E-2</v>
      </c>
      <c r="EB32" s="18" t="s">
        <v>25</v>
      </c>
      <c r="EC32" s="18" t="s">
        <v>25</v>
      </c>
      <c r="ED32" s="18" t="s">
        <v>25</v>
      </c>
      <c r="EE32" s="18" t="s">
        <v>25</v>
      </c>
      <c r="EF32" s="18" t="s">
        <v>25</v>
      </c>
      <c r="EG32" s="18" t="s">
        <v>25</v>
      </c>
      <c r="EH32" s="18" t="s">
        <v>25</v>
      </c>
      <c r="EI32" s="18" t="s">
        <v>25</v>
      </c>
      <c r="EJ32" s="18" t="s">
        <v>25</v>
      </c>
      <c r="EK32" s="18" t="s">
        <v>25</v>
      </c>
      <c r="EL32" s="18" t="s">
        <v>25</v>
      </c>
      <c r="EM32" s="18" t="s">
        <v>25</v>
      </c>
      <c r="EN32" s="18" t="s">
        <v>25</v>
      </c>
      <c r="EO32" s="18" t="s">
        <v>25</v>
      </c>
      <c r="EP32" s="18" t="s">
        <v>25</v>
      </c>
      <c r="EQ32" s="18" t="s">
        <v>25</v>
      </c>
      <c r="ER32" s="18" t="s">
        <v>25</v>
      </c>
      <c r="ES32" s="18" t="s">
        <v>25</v>
      </c>
      <c r="ET32" s="18" t="s">
        <v>25</v>
      </c>
      <c r="EU32" s="18" t="s">
        <v>25</v>
      </c>
      <c r="EV32" s="18" t="s">
        <v>25</v>
      </c>
      <c r="EW32" s="18" t="s">
        <v>25</v>
      </c>
      <c r="EX32" s="18" t="s">
        <v>25</v>
      </c>
      <c r="EY32" s="18" t="s">
        <v>25</v>
      </c>
      <c r="EZ32" s="18" t="s">
        <v>25</v>
      </c>
      <c r="FA32" s="18" t="s">
        <v>25</v>
      </c>
      <c r="FB32" s="18" t="s">
        <v>25</v>
      </c>
      <c r="FC32" s="18" t="s">
        <v>25</v>
      </c>
      <c r="FD32" s="18" t="s">
        <v>25</v>
      </c>
      <c r="FE32" s="18" t="s">
        <v>25</v>
      </c>
      <c r="FF32" s="18" t="s">
        <v>25</v>
      </c>
      <c r="FG32" s="18" t="s">
        <v>25</v>
      </c>
      <c r="FH32" s="18" t="s">
        <v>25</v>
      </c>
      <c r="FI32" s="18" t="s">
        <v>25</v>
      </c>
      <c r="FJ32" s="18" t="s">
        <v>25</v>
      </c>
      <c r="FK32" s="18" t="s">
        <v>25</v>
      </c>
      <c r="FL32" s="18" t="s">
        <v>25</v>
      </c>
      <c r="FM32" s="18" t="s">
        <v>25</v>
      </c>
      <c r="FN32" s="18" t="s">
        <v>25</v>
      </c>
      <c r="FO32" s="18" t="s">
        <v>25</v>
      </c>
      <c r="FP32" s="18" t="s">
        <v>25</v>
      </c>
      <c r="FQ32" s="18" t="s">
        <v>25</v>
      </c>
      <c r="FR32" s="18" t="s">
        <v>25</v>
      </c>
      <c r="FS32" s="18" t="s">
        <v>25</v>
      </c>
      <c r="FT32" s="18" t="s">
        <v>25</v>
      </c>
      <c r="FU32" s="18" t="s">
        <v>25</v>
      </c>
      <c r="FV32" s="18" t="s">
        <v>25</v>
      </c>
      <c r="FW32" s="18" t="s">
        <v>25</v>
      </c>
      <c r="FX32" s="18" t="s">
        <v>25</v>
      </c>
      <c r="FY32" s="18" t="s">
        <v>25</v>
      </c>
      <c r="FZ32" s="17" t="s">
        <v>25</v>
      </c>
      <c r="GA32" s="13" t="s">
        <v>25</v>
      </c>
      <c r="GB32" s="13" t="s">
        <v>25</v>
      </c>
      <c r="GC32" s="13" t="s">
        <v>25</v>
      </c>
      <c r="GD32" s="13" t="s">
        <v>25</v>
      </c>
      <c r="GE32" s="13" t="s">
        <v>25</v>
      </c>
      <c r="GF32" s="13" t="s">
        <v>25</v>
      </c>
      <c r="GG32" s="18" t="s">
        <v>25</v>
      </c>
      <c r="GH32" s="17" t="s">
        <v>25</v>
      </c>
      <c r="GI32" s="17" t="s">
        <v>25</v>
      </c>
      <c r="GJ32" s="13" t="s">
        <v>25</v>
      </c>
      <c r="GK32" s="13" t="s">
        <v>25</v>
      </c>
      <c r="GL32" s="18" t="s">
        <v>25</v>
      </c>
      <c r="GM32" s="18" t="s">
        <v>25</v>
      </c>
      <c r="GN32" s="17" t="s">
        <v>25</v>
      </c>
      <c r="GO32" s="13" t="s">
        <v>25</v>
      </c>
      <c r="GP32" s="13" t="s">
        <v>25</v>
      </c>
      <c r="GQ32" s="13" t="s">
        <v>25</v>
      </c>
      <c r="GR32" s="16" t="s">
        <v>25</v>
      </c>
      <c r="GS32" s="15" t="s">
        <v>25</v>
      </c>
      <c r="GT32" s="14" t="s">
        <v>25</v>
      </c>
      <c r="GU32" s="13" t="s">
        <v>25</v>
      </c>
      <c r="GV32" s="16" t="s">
        <v>25</v>
      </c>
      <c r="GW32" s="15" t="s">
        <v>25</v>
      </c>
      <c r="GX32" s="14" t="s">
        <v>25</v>
      </c>
      <c r="GY32" s="13" t="s">
        <v>25</v>
      </c>
      <c r="GZ32" s="13" t="s">
        <v>25</v>
      </c>
      <c r="HA32" s="16" t="s">
        <v>25</v>
      </c>
      <c r="HB32" s="16" t="s">
        <v>25</v>
      </c>
      <c r="HC32" s="16" t="s">
        <v>25</v>
      </c>
      <c r="HD32" s="16" t="s">
        <v>25</v>
      </c>
      <c r="HE32" s="16" t="s">
        <v>25</v>
      </c>
      <c r="HF32" s="16" t="s">
        <v>25</v>
      </c>
      <c r="HG32" s="16" t="s">
        <v>25</v>
      </c>
      <c r="HH32" s="16" t="s">
        <v>25</v>
      </c>
      <c r="HI32" s="16" t="s">
        <v>25</v>
      </c>
      <c r="HJ32" s="16" t="s">
        <v>25</v>
      </c>
      <c r="HK32" s="16" t="s">
        <v>25</v>
      </c>
      <c r="HL32" s="14" t="s">
        <v>25</v>
      </c>
      <c r="HM32" s="14" t="s">
        <v>25</v>
      </c>
      <c r="HN32" s="14" t="s">
        <v>25</v>
      </c>
      <c r="HO32" s="14" t="s">
        <v>25</v>
      </c>
      <c r="HP32" s="14" t="s">
        <v>25</v>
      </c>
      <c r="HQ32" s="14" t="s">
        <v>25</v>
      </c>
      <c r="HR32" s="14" t="s">
        <v>25</v>
      </c>
      <c r="HS32" s="14" t="s">
        <v>25</v>
      </c>
      <c r="HT32" s="14" t="s">
        <v>25</v>
      </c>
      <c r="HU32" s="14" t="s">
        <v>25</v>
      </c>
      <c r="HV32" s="14" t="s">
        <v>25</v>
      </c>
      <c r="HW32" s="14" t="s">
        <v>25</v>
      </c>
      <c r="HX32" s="14" t="s">
        <v>25</v>
      </c>
      <c r="HY32" s="13" t="s">
        <v>25</v>
      </c>
      <c r="HZ32" s="16" t="s">
        <v>25</v>
      </c>
      <c r="IA32" s="14" t="s">
        <v>25</v>
      </c>
      <c r="IB32" s="14" t="s">
        <v>25</v>
      </c>
      <c r="IC32" s="13" t="s">
        <v>25</v>
      </c>
      <c r="ID32" s="13" t="s">
        <v>25</v>
      </c>
      <c r="IE32" s="16" t="s">
        <v>25</v>
      </c>
      <c r="IF32" s="15" t="s">
        <v>25</v>
      </c>
      <c r="IG32" s="15" t="s">
        <v>25</v>
      </c>
      <c r="IH32" s="15" t="s">
        <v>25</v>
      </c>
      <c r="II32" s="16" t="s">
        <v>25</v>
      </c>
      <c r="IJ32" s="16" t="s">
        <v>25</v>
      </c>
      <c r="IK32" s="16" t="s">
        <v>25</v>
      </c>
      <c r="IL32" s="16" t="s">
        <v>25</v>
      </c>
      <c r="IM32" s="15" t="s">
        <v>25</v>
      </c>
      <c r="IN32" s="14" t="s">
        <v>25</v>
      </c>
      <c r="IO32" s="13" t="s">
        <v>25</v>
      </c>
      <c r="IP32" s="16" t="s">
        <v>25</v>
      </c>
      <c r="IQ32" s="16">
        <v>7.4800000000000005E-2</v>
      </c>
      <c r="IR32" s="15">
        <v>7.3300000000000004E-2</v>
      </c>
      <c r="IS32" s="15">
        <v>7.6499999999999999E-2</v>
      </c>
      <c r="IT32" s="15">
        <v>7.6899999999999996E-2</v>
      </c>
      <c r="IU32" s="15" t="s">
        <v>25</v>
      </c>
      <c r="IV32" s="16" t="s">
        <v>25</v>
      </c>
      <c r="IW32" s="16" t="s">
        <v>25</v>
      </c>
      <c r="IX32" s="16">
        <v>7.8200000000000006E-2</v>
      </c>
      <c r="IY32" s="14" t="s">
        <v>25</v>
      </c>
      <c r="IZ32" s="14">
        <v>7.3999999999999996E-2</v>
      </c>
      <c r="JA32" s="13" t="s">
        <v>25</v>
      </c>
      <c r="JB32" s="13" t="s">
        <v>25</v>
      </c>
      <c r="JC32" s="15">
        <v>7.2999999999999995E-2</v>
      </c>
      <c r="JD32" s="14">
        <v>7.2400000000000006E-2</v>
      </c>
      <c r="JE32" s="13">
        <v>6.8599999999999994E-2</v>
      </c>
    </row>
    <row r="33" spans="1:265" ht="12.75" customHeight="1">
      <c r="A33" s="60"/>
      <c r="B33" s="60"/>
      <c r="C33" s="60"/>
      <c r="D33" s="29" t="s">
        <v>28</v>
      </c>
      <c r="E33" s="20">
        <v>31</v>
      </c>
      <c r="F33" s="19" t="s">
        <v>49</v>
      </c>
      <c r="G33" s="27">
        <v>8.5400000000000004E-2</v>
      </c>
      <c r="H33" s="27">
        <v>7.85E-2</v>
      </c>
      <c r="I33" s="27">
        <v>8.43E-2</v>
      </c>
      <c r="J33" s="27">
        <v>8.3099999999999993E-2</v>
      </c>
      <c r="K33" s="27">
        <v>7.5700000000000003E-2</v>
      </c>
      <c r="L33" s="27">
        <v>8.2699999999999996E-2</v>
      </c>
      <c r="M33" s="27">
        <v>6.4899999999999999E-2</v>
      </c>
      <c r="N33" s="27">
        <v>8.0500000000000002E-2</v>
      </c>
      <c r="O33" s="27">
        <v>7.6899999999999996E-2</v>
      </c>
      <c r="P33" s="27">
        <v>6.2199999999999998E-2</v>
      </c>
      <c r="Q33" s="27">
        <v>0.14000000000000001</v>
      </c>
      <c r="R33" s="27">
        <v>9.8900000000000002E-2</v>
      </c>
      <c r="S33" s="27">
        <v>5.6800000000000003E-2</v>
      </c>
      <c r="T33" s="27">
        <v>5.6300000000000003E-2</v>
      </c>
      <c r="U33" s="27">
        <v>5.8700000000000002E-2</v>
      </c>
      <c r="V33" s="27">
        <v>0.14899999999999999</v>
      </c>
      <c r="W33" s="27">
        <v>5.3400000000000003E-2</v>
      </c>
      <c r="X33" s="27">
        <v>5.3499999999999999E-2</v>
      </c>
      <c r="Y33" s="27">
        <v>5.4600000000000003E-2</v>
      </c>
      <c r="Z33" s="27">
        <v>5.16E-2</v>
      </c>
      <c r="AA33" s="27">
        <v>6.6400000000000001E-2</v>
      </c>
      <c r="AB33" s="27">
        <v>5.67E-2</v>
      </c>
      <c r="AC33" s="27">
        <v>5.2600000000000001E-2</v>
      </c>
      <c r="AD33" s="27">
        <v>5.28E-2</v>
      </c>
      <c r="AE33" s="27">
        <v>5.9700000000000003E-2</v>
      </c>
      <c r="AF33" s="27">
        <v>6.1600000000000002E-2</v>
      </c>
      <c r="AG33" s="27">
        <v>5.5599999999999997E-2</v>
      </c>
      <c r="AH33" s="27">
        <v>5.2200000000000003E-2</v>
      </c>
      <c r="AI33" s="27">
        <v>5.9499999999999997E-2</v>
      </c>
      <c r="AJ33" s="27">
        <v>6.0999999999999999E-2</v>
      </c>
      <c r="AK33" s="27">
        <v>6.5299999999999997E-2</v>
      </c>
      <c r="AL33" s="27">
        <v>6.4600000000000005E-2</v>
      </c>
      <c r="AM33" s="27">
        <v>6.4699999999999994E-2</v>
      </c>
      <c r="AN33" s="27">
        <v>6.4100000000000004E-2</v>
      </c>
      <c r="AO33" s="27">
        <v>6.2100000000000002E-2</v>
      </c>
      <c r="AP33" s="27">
        <v>7.1199999999999999E-2</v>
      </c>
      <c r="AQ33" s="27">
        <v>7.5600000000000001E-2</v>
      </c>
      <c r="AR33" s="27">
        <v>6.8400000000000002E-2</v>
      </c>
      <c r="AS33" s="27">
        <v>7.3899999999999993E-2</v>
      </c>
      <c r="AT33" s="27">
        <v>7.2700000000000001E-2</v>
      </c>
      <c r="AU33" s="27">
        <v>7.8100000000000003E-2</v>
      </c>
      <c r="AV33" s="27">
        <v>7.8399999999999997E-2</v>
      </c>
      <c r="AW33" s="27">
        <v>7.6600000000000001E-2</v>
      </c>
      <c r="AX33" s="27">
        <v>7.3499999999999996E-2</v>
      </c>
      <c r="AY33" s="27">
        <v>7.3800000000000004E-2</v>
      </c>
      <c r="AZ33" s="27">
        <v>6.59E-2</v>
      </c>
      <c r="BA33" s="27">
        <v>7.9200000000000007E-2</v>
      </c>
      <c r="BB33" s="27">
        <v>6.9800000000000001E-2</v>
      </c>
      <c r="BC33" s="27">
        <v>7.1999999999999995E-2</v>
      </c>
      <c r="BD33" s="27">
        <v>0.1216</v>
      </c>
      <c r="BE33" s="27">
        <v>0.15290000000000001</v>
      </c>
      <c r="BF33" s="27">
        <v>0.12089999999999999</v>
      </c>
      <c r="BG33" s="27">
        <v>0.13750000000000001</v>
      </c>
      <c r="BH33" s="27">
        <v>0.1547</v>
      </c>
      <c r="BI33" s="27">
        <v>0.1515</v>
      </c>
      <c r="BJ33" s="27">
        <v>0.161</v>
      </c>
      <c r="BK33" s="27">
        <v>0.14960000000000001</v>
      </c>
      <c r="BL33" s="27">
        <v>0.16</v>
      </c>
      <c r="BM33" s="27">
        <v>0.1583</v>
      </c>
      <c r="BN33" s="27">
        <v>0.1371</v>
      </c>
      <c r="BO33" s="27">
        <v>0.16439999999999999</v>
      </c>
      <c r="BP33" s="27">
        <v>0.16800000000000001</v>
      </c>
      <c r="BQ33" s="27">
        <v>0.16239999999999999</v>
      </c>
      <c r="BR33" s="27">
        <v>6.1100000000000002E-2</v>
      </c>
      <c r="BS33" s="27">
        <v>6.3399999999999998E-2</v>
      </c>
      <c r="BT33" s="27">
        <v>8.5699999999999998E-2</v>
      </c>
      <c r="BU33" s="27">
        <v>9.9599999999999994E-2</v>
      </c>
      <c r="BV33" s="27">
        <v>0.11</v>
      </c>
      <c r="BW33" s="27">
        <v>4.8099999999999997E-2</v>
      </c>
      <c r="BX33" s="27">
        <v>6.2600000000000003E-2</v>
      </c>
      <c r="BY33" s="27">
        <v>5.0799999999999998E-2</v>
      </c>
      <c r="BZ33" s="27">
        <v>6.4299999999999996E-2</v>
      </c>
      <c r="CA33" s="27" t="s">
        <v>26</v>
      </c>
      <c r="CB33" s="27" t="s">
        <v>25</v>
      </c>
      <c r="CC33" s="27" t="s">
        <v>25</v>
      </c>
      <c r="CD33" s="27" t="s">
        <v>26</v>
      </c>
      <c r="CE33" s="27" t="s">
        <v>25</v>
      </c>
      <c r="CF33" s="27" t="s">
        <v>25</v>
      </c>
      <c r="CG33" s="27" t="s">
        <v>25</v>
      </c>
      <c r="CH33" s="27" t="s">
        <v>25</v>
      </c>
      <c r="CI33" s="27" t="s">
        <v>25</v>
      </c>
      <c r="CJ33" s="27" t="s">
        <v>25</v>
      </c>
      <c r="CK33" s="27" t="s">
        <v>25</v>
      </c>
      <c r="CL33" s="27" t="s">
        <v>25</v>
      </c>
      <c r="CM33" s="27" t="s">
        <v>25</v>
      </c>
      <c r="CN33" s="27" t="s">
        <v>26</v>
      </c>
      <c r="CO33" s="27" t="s">
        <v>25</v>
      </c>
      <c r="CP33" s="27" t="s">
        <v>25</v>
      </c>
      <c r="CQ33" s="27" t="s">
        <v>25</v>
      </c>
      <c r="CR33" s="27" t="s">
        <v>25</v>
      </c>
      <c r="CS33" s="27" t="s">
        <v>26</v>
      </c>
      <c r="CT33" s="27" t="s">
        <v>25</v>
      </c>
      <c r="CU33" s="27" t="s">
        <v>25</v>
      </c>
      <c r="CV33" s="27" t="s">
        <v>25</v>
      </c>
      <c r="CW33" s="27" t="s">
        <v>26</v>
      </c>
      <c r="CX33" s="27" t="s">
        <v>26</v>
      </c>
      <c r="CY33" s="27" t="s">
        <v>25</v>
      </c>
      <c r="CZ33" s="27" t="s">
        <v>25</v>
      </c>
      <c r="DA33" s="27" t="s">
        <v>25</v>
      </c>
      <c r="DB33" s="27" t="s">
        <v>26</v>
      </c>
      <c r="DC33" s="27" t="s">
        <v>26</v>
      </c>
      <c r="DD33" s="27" t="s">
        <v>25</v>
      </c>
      <c r="DE33" s="27" t="s">
        <v>26</v>
      </c>
      <c r="DF33" s="27" t="s">
        <v>26</v>
      </c>
      <c r="DG33" s="27" t="s">
        <v>26</v>
      </c>
      <c r="DH33" s="27" t="s">
        <v>26</v>
      </c>
      <c r="DI33" s="27" t="s">
        <v>25</v>
      </c>
      <c r="DJ33" s="27" t="s">
        <v>26</v>
      </c>
      <c r="DK33" s="27" t="s">
        <v>26</v>
      </c>
      <c r="DL33" s="27" t="s">
        <v>26</v>
      </c>
      <c r="DM33" s="27" t="s">
        <v>26</v>
      </c>
      <c r="DN33" s="27" t="s">
        <v>26</v>
      </c>
      <c r="DO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25</v>
      </c>
      <c r="DU33" s="27" t="s">
        <v>26</v>
      </c>
      <c r="DV33" s="27" t="s">
        <v>25</v>
      </c>
      <c r="DW33" s="27" t="s">
        <v>25</v>
      </c>
      <c r="DX33" s="27" t="s">
        <v>26</v>
      </c>
      <c r="DY33" s="27" t="s">
        <v>26</v>
      </c>
      <c r="DZ33" s="27" t="s">
        <v>25</v>
      </c>
      <c r="EA33" s="27" t="s">
        <v>26</v>
      </c>
      <c r="EB33" s="27" t="s">
        <v>26</v>
      </c>
      <c r="EC33" s="27" t="s">
        <v>26</v>
      </c>
      <c r="ED33" s="27" t="s">
        <v>25</v>
      </c>
      <c r="EE33" s="27" t="s">
        <v>26</v>
      </c>
      <c r="EF33" s="27" t="s">
        <v>26</v>
      </c>
      <c r="EG33" s="27" t="s">
        <v>26</v>
      </c>
      <c r="EH33" s="27" t="s">
        <v>26</v>
      </c>
      <c r="EI33" s="27" t="s">
        <v>26</v>
      </c>
      <c r="EJ33" s="27" t="s">
        <v>26</v>
      </c>
      <c r="EK33" s="27" t="s">
        <v>26</v>
      </c>
      <c r="EL33" s="27" t="s">
        <v>25</v>
      </c>
      <c r="EM33" s="27" t="s">
        <v>26</v>
      </c>
      <c r="EN33" s="27" t="s">
        <v>26</v>
      </c>
      <c r="EO33" s="27" t="s">
        <v>25</v>
      </c>
      <c r="EP33" s="27" t="s">
        <v>25</v>
      </c>
      <c r="EQ33" s="27" t="s">
        <v>25</v>
      </c>
      <c r="ER33" s="27" t="s">
        <v>25</v>
      </c>
      <c r="ES33" s="27" t="s">
        <v>25</v>
      </c>
      <c r="ET33" s="27" t="s">
        <v>25</v>
      </c>
      <c r="EU33" s="27" t="s">
        <v>25</v>
      </c>
      <c r="EV33" s="27" t="s">
        <v>25</v>
      </c>
      <c r="EW33" s="27" t="s">
        <v>25</v>
      </c>
      <c r="EX33" s="27" t="s">
        <v>25</v>
      </c>
      <c r="EY33" s="27" t="s">
        <v>25</v>
      </c>
      <c r="EZ33" s="27" t="s">
        <v>25</v>
      </c>
      <c r="FA33" s="27" t="s">
        <v>25</v>
      </c>
      <c r="FB33" s="27" t="s">
        <v>25</v>
      </c>
      <c r="FC33" s="27" t="s">
        <v>25</v>
      </c>
      <c r="FD33" s="27" t="s">
        <v>25</v>
      </c>
      <c r="FE33" s="27" t="s">
        <v>25</v>
      </c>
      <c r="FF33" s="27" t="s">
        <v>25</v>
      </c>
      <c r="FG33" s="27" t="s">
        <v>25</v>
      </c>
      <c r="FH33" s="27" t="s">
        <v>26</v>
      </c>
      <c r="FI33" s="27" t="s">
        <v>25</v>
      </c>
      <c r="FJ33" s="27" t="s">
        <v>26</v>
      </c>
      <c r="FK33" s="27" t="s">
        <v>25</v>
      </c>
      <c r="FL33" s="27" t="s">
        <v>25</v>
      </c>
      <c r="FM33" s="27" t="s">
        <v>25</v>
      </c>
      <c r="FN33" s="27" t="s">
        <v>25</v>
      </c>
      <c r="FO33" s="27" t="s">
        <v>25</v>
      </c>
      <c r="FP33" s="27" t="s">
        <v>25</v>
      </c>
      <c r="FQ33" s="27" t="s">
        <v>25</v>
      </c>
      <c r="FR33" s="27" t="s">
        <v>25</v>
      </c>
      <c r="FS33" s="27" t="s">
        <v>25</v>
      </c>
      <c r="FT33" s="27" t="s">
        <v>25</v>
      </c>
      <c r="FU33" s="27" t="s">
        <v>25</v>
      </c>
      <c r="FV33" s="27" t="s">
        <v>25</v>
      </c>
      <c r="FW33" s="27" t="s">
        <v>25</v>
      </c>
      <c r="FX33" s="27" t="s">
        <v>25</v>
      </c>
      <c r="FY33" s="27" t="s">
        <v>25</v>
      </c>
      <c r="FZ33" s="26" t="s">
        <v>25</v>
      </c>
      <c r="GA33" s="22" t="s">
        <v>25</v>
      </c>
      <c r="GB33" s="22" t="s">
        <v>25</v>
      </c>
      <c r="GC33" s="22" t="s">
        <v>25</v>
      </c>
      <c r="GD33" s="22" t="s">
        <v>25</v>
      </c>
      <c r="GE33" s="22" t="s">
        <v>25</v>
      </c>
      <c r="GF33" s="22">
        <v>6.9800000000000001E-2</v>
      </c>
      <c r="GG33" s="27" t="s">
        <v>25</v>
      </c>
      <c r="GH33" s="26" t="s">
        <v>25</v>
      </c>
      <c r="GI33" s="26" t="s">
        <v>25</v>
      </c>
      <c r="GJ33" s="22">
        <v>3.9800000000000002E-2</v>
      </c>
      <c r="GK33" s="22" t="s">
        <v>25</v>
      </c>
      <c r="GL33" s="27" t="s">
        <v>25</v>
      </c>
      <c r="GM33" s="27" t="s">
        <v>25</v>
      </c>
      <c r="GN33" s="26" t="s">
        <v>25</v>
      </c>
      <c r="GO33" s="22" t="s">
        <v>25</v>
      </c>
      <c r="GP33" s="22" t="s">
        <v>25</v>
      </c>
      <c r="GQ33" s="22" t="s">
        <v>25</v>
      </c>
      <c r="GR33" s="25">
        <v>2.9700000000000001E-2</v>
      </c>
      <c r="GS33" s="24" t="s">
        <v>25</v>
      </c>
      <c r="GT33" s="23" t="s">
        <v>25</v>
      </c>
      <c r="GU33" s="22" t="s">
        <v>25</v>
      </c>
      <c r="GV33" s="25" t="s">
        <v>25</v>
      </c>
      <c r="GW33" s="24" t="s">
        <v>25</v>
      </c>
      <c r="GX33" s="23" t="s">
        <v>25</v>
      </c>
      <c r="GY33" s="22" t="s">
        <v>25</v>
      </c>
      <c r="GZ33" s="22" t="s">
        <v>25</v>
      </c>
      <c r="HA33" s="25" t="s">
        <v>25</v>
      </c>
      <c r="HB33" s="25" t="s">
        <v>25</v>
      </c>
      <c r="HC33" s="25" t="s">
        <v>25</v>
      </c>
      <c r="HD33" s="25">
        <v>6.5500000000000003E-2</v>
      </c>
      <c r="HE33" s="25">
        <v>8.0299999999999996E-2</v>
      </c>
      <c r="HF33" s="25">
        <v>7.8799999999999995E-2</v>
      </c>
      <c r="HG33" s="25">
        <v>8.2199999999999995E-2</v>
      </c>
      <c r="HH33" s="25">
        <v>8.7999999999999995E-2</v>
      </c>
      <c r="HI33" s="25">
        <v>9.8699999999999996E-2</v>
      </c>
      <c r="HJ33" s="25">
        <v>0.1065</v>
      </c>
      <c r="HK33" s="25">
        <v>0.1022</v>
      </c>
      <c r="HL33" s="23">
        <v>9.5600000000000004E-2</v>
      </c>
      <c r="HM33" s="23">
        <v>0.1036</v>
      </c>
      <c r="HN33" s="23">
        <v>9.9699999999999997E-2</v>
      </c>
      <c r="HO33" s="23">
        <v>0.1045</v>
      </c>
      <c r="HP33" s="23">
        <v>0.1056</v>
      </c>
      <c r="HQ33" s="23">
        <v>0.1116</v>
      </c>
      <c r="HR33" s="23" t="s">
        <v>25</v>
      </c>
      <c r="HS33" s="23" t="s">
        <v>25</v>
      </c>
      <c r="HT33" s="23">
        <v>0.10489999999999999</v>
      </c>
      <c r="HU33" s="23">
        <v>9.35E-2</v>
      </c>
      <c r="HV33" s="23">
        <v>9.6600000000000005E-2</v>
      </c>
      <c r="HW33" s="23">
        <v>9.9900000000000003E-2</v>
      </c>
      <c r="HX33" s="23">
        <v>9.5699999999999993E-2</v>
      </c>
      <c r="HY33" s="22">
        <v>8.5500000000000007E-2</v>
      </c>
      <c r="HZ33" s="25">
        <v>9.4100000000000003E-2</v>
      </c>
      <c r="IA33" s="23">
        <v>9.9000000000000005E-2</v>
      </c>
      <c r="IB33" s="23">
        <v>9.35E-2</v>
      </c>
      <c r="IC33" s="22">
        <v>8.8400000000000006E-2</v>
      </c>
      <c r="ID33" s="22">
        <v>9.1300000000000006E-2</v>
      </c>
      <c r="IE33" s="25">
        <v>9.8299999999999998E-2</v>
      </c>
      <c r="IF33" s="24">
        <v>7.9299999999999995E-2</v>
      </c>
      <c r="IG33" s="24">
        <v>9.4E-2</v>
      </c>
      <c r="IH33" s="24" t="s">
        <v>25</v>
      </c>
      <c r="II33" s="25" t="s">
        <v>25</v>
      </c>
      <c r="IJ33" s="25" t="s">
        <v>25</v>
      </c>
      <c r="IK33" s="25" t="s">
        <v>25</v>
      </c>
      <c r="IL33" s="25" t="s">
        <v>25</v>
      </c>
      <c r="IM33" s="24" t="s">
        <v>25</v>
      </c>
      <c r="IN33" s="23">
        <v>8.9700000000000002E-2</v>
      </c>
      <c r="IO33" s="22">
        <v>8.4000000000000005E-2</v>
      </c>
      <c r="IP33" s="25">
        <v>8.0799999999999997E-2</v>
      </c>
      <c r="IQ33" s="25">
        <v>7.6100000000000001E-2</v>
      </c>
      <c r="IR33" s="24">
        <v>7.4099999999999999E-2</v>
      </c>
      <c r="IS33" s="24">
        <v>7.6600000000000001E-2</v>
      </c>
      <c r="IT33" s="24">
        <v>7.8E-2</v>
      </c>
      <c r="IU33" s="24">
        <v>7.6100000000000001E-2</v>
      </c>
      <c r="IV33" s="25">
        <v>7.3300000000000004E-2</v>
      </c>
      <c r="IW33" s="25" t="s">
        <v>25</v>
      </c>
      <c r="IX33" s="25">
        <v>7.2499999999999995E-2</v>
      </c>
      <c r="IY33" s="23" t="s">
        <v>25</v>
      </c>
      <c r="IZ33" s="23" t="s">
        <v>25</v>
      </c>
      <c r="JA33" s="22">
        <v>7.7499999999999999E-2</v>
      </c>
      <c r="JB33" s="22">
        <v>7.4099999999999999E-2</v>
      </c>
      <c r="JC33" s="24">
        <v>7.3400000000000007E-2</v>
      </c>
      <c r="JD33" s="23">
        <v>7.6499999999999999E-2</v>
      </c>
      <c r="JE33" s="22">
        <v>6.8500000000000005E-2</v>
      </c>
    </row>
    <row r="34" spans="1:265" ht="12.75" customHeight="1">
      <c r="A34" s="60"/>
      <c r="B34" s="60"/>
      <c r="C34" s="60"/>
      <c r="D34" s="29" t="s">
        <v>19</v>
      </c>
      <c r="E34" s="20">
        <v>32</v>
      </c>
      <c r="F34" s="19" t="s">
        <v>48</v>
      </c>
      <c r="G34" s="18">
        <v>9.3600000000000003E-2</v>
      </c>
      <c r="H34" s="18">
        <v>9.1700000000000004E-2</v>
      </c>
      <c r="I34" s="18">
        <v>9.6799999999999997E-2</v>
      </c>
      <c r="J34" s="18">
        <v>8.7800000000000003E-2</v>
      </c>
      <c r="K34" s="18">
        <v>8.0500000000000002E-2</v>
      </c>
      <c r="L34" s="18">
        <v>7.9500000000000001E-2</v>
      </c>
      <c r="M34" s="18">
        <v>7.8700000000000006E-2</v>
      </c>
      <c r="N34" s="18">
        <v>7.6200000000000004E-2</v>
      </c>
      <c r="O34" s="18">
        <v>6.6699999999999995E-2</v>
      </c>
      <c r="P34" s="18">
        <v>6.5299999999999997E-2</v>
      </c>
      <c r="Q34" s="18">
        <v>8.9499999999999996E-2</v>
      </c>
      <c r="R34" s="18">
        <v>6.8000000000000005E-2</v>
      </c>
      <c r="S34" s="18">
        <v>6.9099999999999995E-2</v>
      </c>
      <c r="T34" s="18">
        <v>6.4399999999999999E-2</v>
      </c>
      <c r="U34" s="18">
        <v>6.5799999999999997E-2</v>
      </c>
      <c r="V34" s="18">
        <v>7.0300000000000001E-2</v>
      </c>
      <c r="W34" s="18">
        <v>6.7500000000000004E-2</v>
      </c>
      <c r="X34" s="18">
        <v>6.7400000000000002E-2</v>
      </c>
      <c r="Y34" s="18">
        <v>5.8000000000000003E-2</v>
      </c>
      <c r="Z34" s="18">
        <v>6.7000000000000004E-2</v>
      </c>
      <c r="AA34" s="18">
        <v>6.0299999999999999E-2</v>
      </c>
      <c r="AB34" s="18">
        <v>7.7399999999999997E-2</v>
      </c>
      <c r="AC34" s="18">
        <v>7.7899999999999997E-2</v>
      </c>
      <c r="AD34" s="18">
        <v>3.95E-2</v>
      </c>
      <c r="AE34" s="18">
        <v>5.4300000000000001E-2</v>
      </c>
      <c r="AF34" s="18">
        <v>6.2700000000000006E-2</v>
      </c>
      <c r="AG34" s="18">
        <v>6.5600000000000006E-2</v>
      </c>
      <c r="AH34" s="18">
        <v>5.4300000000000001E-2</v>
      </c>
      <c r="AI34" s="18">
        <v>7.7600000000000002E-2</v>
      </c>
      <c r="AJ34" s="18">
        <v>5.7200000000000001E-2</v>
      </c>
      <c r="AK34" s="18">
        <v>6.7199999999999996E-2</v>
      </c>
      <c r="AL34" s="18">
        <v>7.2999999999999995E-2</v>
      </c>
      <c r="AM34" s="18">
        <v>6.88E-2</v>
      </c>
      <c r="AN34" s="18">
        <v>7.3099999999999998E-2</v>
      </c>
      <c r="AO34" s="18">
        <v>7.3800000000000004E-2</v>
      </c>
      <c r="AP34" s="18">
        <v>7.7899999999999997E-2</v>
      </c>
      <c r="AQ34" s="18">
        <v>7.6899999999999996E-2</v>
      </c>
      <c r="AR34" s="18">
        <v>8.1100000000000005E-2</v>
      </c>
      <c r="AS34" s="18">
        <v>8.5099999999999995E-2</v>
      </c>
      <c r="AT34" s="18">
        <v>8.9300000000000004E-2</v>
      </c>
      <c r="AU34" s="18">
        <v>8.7800000000000003E-2</v>
      </c>
      <c r="AV34" s="18">
        <v>8.4199999999999997E-2</v>
      </c>
      <c r="AW34" s="18">
        <v>8.7999999999999995E-2</v>
      </c>
      <c r="AX34" s="18">
        <v>9.0800000000000006E-2</v>
      </c>
      <c r="AY34" s="18">
        <v>9.1899999999999996E-2</v>
      </c>
      <c r="AZ34" s="18">
        <v>8.9899999999999994E-2</v>
      </c>
      <c r="BA34" s="18">
        <v>9.4799999999999995E-2</v>
      </c>
      <c r="BB34" s="18">
        <v>9.8000000000000004E-2</v>
      </c>
      <c r="BC34" s="18">
        <v>9.8299999999999998E-2</v>
      </c>
      <c r="BD34" s="18">
        <v>9.5500000000000002E-2</v>
      </c>
      <c r="BE34" s="18">
        <v>0.1003</v>
      </c>
      <c r="BF34" s="18">
        <v>9.4399999999999998E-2</v>
      </c>
      <c r="BG34" s="18">
        <v>9.5600000000000004E-2</v>
      </c>
      <c r="BH34" s="18">
        <v>8.8700000000000001E-2</v>
      </c>
      <c r="BI34" s="18">
        <v>9.3200000000000005E-2</v>
      </c>
      <c r="BJ34" s="18">
        <v>9.2200000000000004E-2</v>
      </c>
      <c r="BK34" s="18">
        <v>0.1007</v>
      </c>
      <c r="BL34" s="18">
        <v>7.1499999999999994E-2</v>
      </c>
      <c r="BM34" s="18">
        <v>9.1300000000000006E-2</v>
      </c>
      <c r="BN34" s="18">
        <v>8.2699999999999996E-2</v>
      </c>
      <c r="BO34" s="18">
        <v>9.0800000000000006E-2</v>
      </c>
      <c r="BP34" s="18">
        <v>9.5500000000000002E-2</v>
      </c>
      <c r="BQ34" s="18">
        <v>8.9200000000000002E-2</v>
      </c>
      <c r="BR34" s="18">
        <v>8.0199999999999994E-2</v>
      </c>
      <c r="BS34" s="18">
        <v>7.85E-2</v>
      </c>
      <c r="BT34" s="18">
        <v>7.8E-2</v>
      </c>
      <c r="BU34" s="18">
        <v>7.7600000000000002E-2</v>
      </c>
      <c r="BV34" s="18">
        <v>8.4699999999999998E-2</v>
      </c>
      <c r="BW34" s="18">
        <v>8.3500000000000005E-2</v>
      </c>
      <c r="BX34" s="18">
        <v>8.0399999999999999E-2</v>
      </c>
      <c r="BY34" s="18">
        <v>7.9799999999999996E-2</v>
      </c>
      <c r="BZ34" s="18">
        <v>7.9699999999999993E-2</v>
      </c>
      <c r="CA34" s="18">
        <v>7.46E-2</v>
      </c>
      <c r="CB34" s="18">
        <v>7.4200000000000002E-2</v>
      </c>
      <c r="CC34" s="18">
        <v>7.8600000000000003E-2</v>
      </c>
      <c r="CD34" s="18">
        <v>8.3699999999999997E-2</v>
      </c>
      <c r="CE34" s="18">
        <v>8.3699999999999997E-2</v>
      </c>
      <c r="CF34" s="18">
        <v>8.5999999999999993E-2</v>
      </c>
      <c r="CG34" s="18">
        <v>8.5199999999999998E-2</v>
      </c>
      <c r="CH34" s="18">
        <v>8.8599999999999998E-2</v>
      </c>
      <c r="CI34" s="18">
        <v>8.4199999999999997E-2</v>
      </c>
      <c r="CJ34" s="18">
        <v>8.3000000000000004E-2</v>
      </c>
      <c r="CK34" s="18">
        <v>8.3400000000000002E-2</v>
      </c>
      <c r="CL34" s="18">
        <v>8.2699999999999996E-2</v>
      </c>
      <c r="CM34" s="18">
        <v>0.08</v>
      </c>
      <c r="CN34" s="18">
        <v>8.14E-2</v>
      </c>
      <c r="CO34" s="18">
        <v>8.5699999999999998E-2</v>
      </c>
      <c r="CP34" s="18">
        <v>8.2500000000000004E-2</v>
      </c>
      <c r="CQ34" s="18">
        <v>8.8099999999999998E-2</v>
      </c>
      <c r="CR34" s="18">
        <v>8.7599999999999997E-2</v>
      </c>
      <c r="CS34" s="18">
        <v>8.9099999999999999E-2</v>
      </c>
      <c r="CT34" s="18">
        <v>8.8200000000000001E-2</v>
      </c>
      <c r="CU34" s="18">
        <v>8.6999999999999994E-2</v>
      </c>
      <c r="CV34" s="18">
        <v>8.8700000000000001E-2</v>
      </c>
      <c r="CW34" s="18">
        <v>8.77E-2</v>
      </c>
      <c r="CX34" s="18">
        <v>8.2199999999999995E-2</v>
      </c>
      <c r="CY34" s="18">
        <v>7.6899999999999996E-2</v>
      </c>
      <c r="CZ34" s="18">
        <v>7.4300000000000005E-2</v>
      </c>
      <c r="DA34" s="18">
        <v>7.5999999999999998E-2</v>
      </c>
      <c r="DB34" s="18">
        <v>7.4999999999999997E-2</v>
      </c>
      <c r="DC34" s="18">
        <v>7.2700000000000001E-2</v>
      </c>
      <c r="DD34" s="18">
        <v>7.1999999999999995E-2</v>
      </c>
      <c r="DE34" s="18">
        <v>6.6600000000000006E-2</v>
      </c>
      <c r="DF34" s="18">
        <v>6.7699999999999996E-2</v>
      </c>
      <c r="DG34" s="18">
        <v>6.8400000000000002E-2</v>
      </c>
      <c r="DH34" s="18">
        <v>6.9199999999999998E-2</v>
      </c>
      <c r="DI34" s="18">
        <v>6.8099999999999994E-2</v>
      </c>
      <c r="DJ34" s="18">
        <v>6.6799999999999998E-2</v>
      </c>
      <c r="DK34" s="18">
        <v>6.4399999999999999E-2</v>
      </c>
      <c r="DL34" s="18">
        <v>6.6199999999999995E-2</v>
      </c>
      <c r="DM34" s="18">
        <v>7.0800000000000002E-2</v>
      </c>
      <c r="DN34" s="18">
        <v>7.3099999999999998E-2</v>
      </c>
      <c r="DO34" s="18">
        <v>7.4700000000000003E-2</v>
      </c>
      <c r="DP34" s="18">
        <v>6.9400000000000003E-2</v>
      </c>
      <c r="DQ34" s="18">
        <v>6.9400000000000003E-2</v>
      </c>
      <c r="DR34" s="18">
        <v>7.0199999999999999E-2</v>
      </c>
      <c r="DS34" s="18">
        <v>6.8400000000000002E-2</v>
      </c>
      <c r="DT34" s="18">
        <v>6.5000000000000002E-2</v>
      </c>
      <c r="DU34" s="18">
        <v>6.1899999999999997E-2</v>
      </c>
      <c r="DV34" s="18">
        <v>5.9900000000000002E-2</v>
      </c>
      <c r="DW34" s="18">
        <v>6.2100000000000002E-2</v>
      </c>
      <c r="DX34" s="18">
        <v>6.1400000000000003E-2</v>
      </c>
      <c r="DY34" s="18">
        <v>5.7700000000000001E-2</v>
      </c>
      <c r="DZ34" s="18">
        <v>5.9700000000000003E-2</v>
      </c>
      <c r="EA34" s="18">
        <v>5.67E-2</v>
      </c>
      <c r="EB34" s="18">
        <v>5.74E-2</v>
      </c>
      <c r="EC34" s="18">
        <v>5.4100000000000002E-2</v>
      </c>
      <c r="ED34" s="18">
        <v>5.5399999999999998E-2</v>
      </c>
      <c r="EE34" s="18">
        <v>5.1200000000000002E-2</v>
      </c>
      <c r="EF34" s="18">
        <v>5.3199999999999997E-2</v>
      </c>
      <c r="EG34" s="18">
        <v>5.3800000000000001E-2</v>
      </c>
      <c r="EH34" s="18">
        <v>5.0500000000000003E-2</v>
      </c>
      <c r="EI34" s="18">
        <v>5.7200000000000001E-2</v>
      </c>
      <c r="EJ34" s="18">
        <v>5.6899999999999999E-2</v>
      </c>
      <c r="EK34" s="18">
        <v>5.3999999999999999E-2</v>
      </c>
      <c r="EL34" s="18">
        <v>5.04E-2</v>
      </c>
      <c r="EM34" s="18">
        <v>5.5899999999999998E-2</v>
      </c>
      <c r="EN34" s="18">
        <v>4.9200000000000001E-2</v>
      </c>
      <c r="EO34" s="18">
        <v>5.2200000000000003E-2</v>
      </c>
      <c r="EP34" s="18">
        <v>4.1200000000000001E-2</v>
      </c>
      <c r="EQ34" s="18">
        <v>5.28E-2</v>
      </c>
      <c r="ER34" s="18">
        <v>5.4899999999999997E-2</v>
      </c>
      <c r="ES34" s="18">
        <v>6.1400000000000003E-2</v>
      </c>
      <c r="ET34" s="18">
        <v>6.0600000000000001E-2</v>
      </c>
      <c r="EU34" s="18">
        <v>5.7299999999999997E-2</v>
      </c>
      <c r="EV34" s="18">
        <v>6.2199999999999998E-2</v>
      </c>
      <c r="EW34" s="18">
        <v>6.0699999999999997E-2</v>
      </c>
      <c r="EX34" s="18">
        <v>5.3400000000000003E-2</v>
      </c>
      <c r="EY34" s="18">
        <v>5.3999999999999999E-2</v>
      </c>
      <c r="EZ34" s="18">
        <v>4.9799999999999997E-2</v>
      </c>
      <c r="FA34" s="18">
        <v>5.2999999999999999E-2</v>
      </c>
      <c r="FB34" s="18">
        <v>5.4199999999999998E-2</v>
      </c>
      <c r="FC34" s="18">
        <v>5.2999999999999999E-2</v>
      </c>
      <c r="FD34" s="18">
        <v>5.1299999999999998E-2</v>
      </c>
      <c r="FE34" s="18">
        <v>5.1700000000000003E-2</v>
      </c>
      <c r="FF34" s="18">
        <v>5.0099999999999999E-2</v>
      </c>
      <c r="FG34" s="18">
        <v>5.6800000000000003E-2</v>
      </c>
      <c r="FH34" s="18">
        <v>5.8799999999999998E-2</v>
      </c>
      <c r="FI34" s="18">
        <v>5.5800000000000002E-2</v>
      </c>
      <c r="FJ34" s="18">
        <v>5.6000000000000001E-2</v>
      </c>
      <c r="FK34" s="18">
        <v>5.0999999999999997E-2</v>
      </c>
      <c r="FL34" s="18">
        <v>5.45E-2</v>
      </c>
      <c r="FM34" s="18">
        <v>5.4399999999999997E-2</v>
      </c>
      <c r="FN34" s="18">
        <v>5.2400000000000002E-2</v>
      </c>
      <c r="FO34" s="18">
        <v>5.3499999999999999E-2</v>
      </c>
      <c r="FP34" s="18">
        <v>4.87E-2</v>
      </c>
      <c r="FQ34" s="18">
        <v>5.3600000000000002E-2</v>
      </c>
      <c r="FR34" s="18">
        <v>5.3499999999999999E-2</v>
      </c>
      <c r="FS34" s="18">
        <v>5.5E-2</v>
      </c>
      <c r="FT34" s="18">
        <v>5.2699999999999997E-2</v>
      </c>
      <c r="FU34" s="18">
        <v>5.0700000000000002E-2</v>
      </c>
      <c r="FV34" s="18">
        <v>5.04E-2</v>
      </c>
      <c r="FW34" s="18">
        <v>5.2999999999999999E-2</v>
      </c>
      <c r="FX34" s="18">
        <v>5.3999999999999999E-2</v>
      </c>
      <c r="FY34" s="18">
        <v>5.0999999999999997E-2</v>
      </c>
      <c r="FZ34" s="17">
        <v>4.8899999999999999E-2</v>
      </c>
      <c r="GA34" s="13">
        <v>5.0700000000000002E-2</v>
      </c>
      <c r="GB34" s="13">
        <v>5.2400000000000002E-2</v>
      </c>
      <c r="GC34" s="13">
        <v>5.4199999999999998E-2</v>
      </c>
      <c r="GD34" s="13">
        <v>5.3499999999999999E-2</v>
      </c>
      <c r="GE34" s="13">
        <v>5.74E-2</v>
      </c>
      <c r="GF34" s="13">
        <v>5.6300000000000003E-2</v>
      </c>
      <c r="GG34" s="18">
        <v>4.9599999999999998E-2</v>
      </c>
      <c r="GH34" s="17">
        <v>4.8500000000000001E-2</v>
      </c>
      <c r="GI34" s="17">
        <v>4.5499999999999999E-2</v>
      </c>
      <c r="GJ34" s="13">
        <v>4.5100000000000001E-2</v>
      </c>
      <c r="GK34" s="13">
        <v>4.1399999999999999E-2</v>
      </c>
      <c r="GL34" s="18">
        <v>4.1000000000000002E-2</v>
      </c>
      <c r="GM34" s="18">
        <v>3.7699999999999997E-2</v>
      </c>
      <c r="GN34" s="17">
        <v>4.19E-2</v>
      </c>
      <c r="GO34" s="13">
        <v>3.7600000000000001E-2</v>
      </c>
      <c r="GP34" s="13">
        <v>3.78E-2</v>
      </c>
      <c r="GQ34" s="13">
        <v>4.2799999999999998E-2</v>
      </c>
      <c r="GR34" s="16">
        <v>3.6700000000000003E-2</v>
      </c>
      <c r="GS34" s="15">
        <v>4.0599999999999997E-2</v>
      </c>
      <c r="GT34" s="14">
        <v>4.2500000000000003E-2</v>
      </c>
      <c r="GU34" s="13">
        <v>3.6499999999999998E-2</v>
      </c>
      <c r="GV34" s="16">
        <v>3.9899999999999998E-2</v>
      </c>
      <c r="GW34" s="15">
        <v>3.5499999999999997E-2</v>
      </c>
      <c r="GX34" s="14">
        <v>4.9000000000000002E-2</v>
      </c>
      <c r="GY34" s="13">
        <v>3.78E-2</v>
      </c>
      <c r="GZ34" s="13">
        <v>3.4099999999999998E-2</v>
      </c>
      <c r="HA34" s="16">
        <v>4.4600000000000001E-2</v>
      </c>
      <c r="HB34" s="16">
        <v>5.62E-2</v>
      </c>
      <c r="HC34" s="16">
        <v>6.25E-2</v>
      </c>
      <c r="HD34" s="16">
        <v>6.7299999999999999E-2</v>
      </c>
      <c r="HE34" s="16">
        <v>7.4499999999999997E-2</v>
      </c>
      <c r="HF34" s="16">
        <v>8.1500000000000003E-2</v>
      </c>
      <c r="HG34" s="16">
        <v>8.3900000000000002E-2</v>
      </c>
      <c r="HH34" s="16">
        <v>9.1399999999999995E-2</v>
      </c>
      <c r="HI34" s="16">
        <v>0.1003</v>
      </c>
      <c r="HJ34" s="16">
        <v>0.10050000000000001</v>
      </c>
      <c r="HK34" s="16">
        <v>0.1004</v>
      </c>
      <c r="HL34" s="14">
        <v>0.1037</v>
      </c>
      <c r="HM34" s="14">
        <v>0.1046</v>
      </c>
      <c r="HN34" s="14">
        <v>0.1037</v>
      </c>
      <c r="HO34" s="14">
        <v>9.8199999999999996E-2</v>
      </c>
      <c r="HP34" s="14">
        <v>0.1012</v>
      </c>
      <c r="HQ34" s="14">
        <v>0.1017</v>
      </c>
      <c r="HR34" s="14">
        <v>0.10249999999999999</v>
      </c>
      <c r="HS34" s="14">
        <v>0.10199999999999999</v>
      </c>
      <c r="HT34" s="14">
        <v>9.9500000000000005E-2</v>
      </c>
      <c r="HU34" s="14">
        <v>9.8000000000000004E-2</v>
      </c>
      <c r="HV34" s="14">
        <v>9.7299999999999998E-2</v>
      </c>
      <c r="HW34" s="14">
        <v>9.64E-2</v>
      </c>
      <c r="HX34" s="14">
        <v>9.3200000000000005E-2</v>
      </c>
      <c r="HY34" s="13">
        <v>9.5100000000000004E-2</v>
      </c>
      <c r="HZ34" s="16">
        <v>0.1002</v>
      </c>
      <c r="IA34" s="14">
        <v>9.3899999999999997E-2</v>
      </c>
      <c r="IB34" s="14">
        <v>9.1300000000000006E-2</v>
      </c>
      <c r="IC34" s="13">
        <v>9.1899999999999996E-2</v>
      </c>
      <c r="ID34" s="13">
        <v>8.8999999999999996E-2</v>
      </c>
      <c r="IE34" s="16">
        <v>9.0499999999999997E-2</v>
      </c>
      <c r="IF34" s="15">
        <v>8.8700000000000001E-2</v>
      </c>
      <c r="IG34" s="15">
        <v>9.2399999999999996E-2</v>
      </c>
      <c r="IH34" s="15">
        <v>8.6699999999999999E-2</v>
      </c>
      <c r="II34" s="16">
        <v>9.2899999999999996E-2</v>
      </c>
      <c r="IJ34" s="16">
        <v>8.9200000000000002E-2</v>
      </c>
      <c r="IK34" s="16">
        <v>8.8999999999999996E-2</v>
      </c>
      <c r="IL34" s="16">
        <v>9.1300000000000006E-2</v>
      </c>
      <c r="IM34" s="15">
        <v>9.0800000000000006E-2</v>
      </c>
      <c r="IN34" s="14">
        <v>9.1499999999999998E-2</v>
      </c>
      <c r="IO34" s="13">
        <v>9.0499999999999997E-2</v>
      </c>
      <c r="IP34" s="16">
        <v>8.9700000000000002E-2</v>
      </c>
      <c r="IQ34" s="16">
        <v>8.2900000000000001E-2</v>
      </c>
      <c r="IR34" s="15">
        <v>8.1299999999999997E-2</v>
      </c>
      <c r="IS34" s="15">
        <v>8.1199999999999994E-2</v>
      </c>
      <c r="IT34" s="15">
        <v>8.1900000000000001E-2</v>
      </c>
      <c r="IU34" s="15">
        <v>7.7600000000000002E-2</v>
      </c>
      <c r="IV34" s="16">
        <v>7.46E-2</v>
      </c>
      <c r="IW34" s="16">
        <v>7.2999999999999995E-2</v>
      </c>
      <c r="IX34" s="16">
        <v>7.3599999999999999E-2</v>
      </c>
      <c r="IY34" s="14">
        <v>6.93E-2</v>
      </c>
      <c r="IZ34" s="14">
        <v>7.5499999999999998E-2</v>
      </c>
      <c r="JA34" s="13">
        <v>7.4399999999999994E-2</v>
      </c>
      <c r="JB34" s="13">
        <v>7.0599999999999996E-2</v>
      </c>
      <c r="JC34" s="15">
        <v>6.8199999999999997E-2</v>
      </c>
      <c r="JD34" s="14">
        <v>7.0900000000000005E-2</v>
      </c>
      <c r="JE34" s="13">
        <v>6.8099999999999994E-2</v>
      </c>
    </row>
    <row r="35" spans="1:265" ht="12.75" customHeight="1">
      <c r="A35" s="60"/>
      <c r="B35" s="60"/>
      <c r="C35" s="61" t="s">
        <v>19</v>
      </c>
      <c r="D35" s="60"/>
      <c r="E35" s="20">
        <v>33</v>
      </c>
      <c r="F35" s="19" t="s">
        <v>47</v>
      </c>
      <c r="G35" s="27">
        <v>9.9900000000000003E-2</v>
      </c>
      <c r="H35" s="27">
        <v>0.1077</v>
      </c>
      <c r="I35" s="27">
        <v>0.11119999999999999</v>
      </c>
      <c r="J35" s="27">
        <v>9.9500000000000005E-2</v>
      </c>
      <c r="K35" s="27">
        <v>8.9700000000000002E-2</v>
      </c>
      <c r="L35" s="27">
        <v>0.1037</v>
      </c>
      <c r="M35" s="27">
        <v>0.1009</v>
      </c>
      <c r="N35" s="27">
        <v>9.7500000000000003E-2</v>
      </c>
      <c r="O35" s="27">
        <v>7.6700000000000004E-2</v>
      </c>
      <c r="P35" s="27">
        <v>8.5099999999999995E-2</v>
      </c>
      <c r="Q35" s="27">
        <v>9.74E-2</v>
      </c>
      <c r="R35" s="27">
        <v>9.0300000000000005E-2</v>
      </c>
      <c r="S35" s="27">
        <v>9.4200000000000006E-2</v>
      </c>
      <c r="T35" s="27">
        <v>9.3399999999999997E-2</v>
      </c>
      <c r="U35" s="27">
        <v>9.5699999999999993E-2</v>
      </c>
      <c r="V35" s="27">
        <v>9.8000000000000004E-2</v>
      </c>
      <c r="W35" s="27">
        <v>9.7299999999999998E-2</v>
      </c>
      <c r="X35" s="27">
        <v>9.2799999999999994E-2</v>
      </c>
      <c r="Y35" s="27">
        <v>8.6599999999999996E-2</v>
      </c>
      <c r="Z35" s="27">
        <v>8.9899999999999994E-2</v>
      </c>
      <c r="AA35" s="27">
        <v>8.8800000000000004E-2</v>
      </c>
      <c r="AB35" s="27">
        <v>8.3500000000000005E-2</v>
      </c>
      <c r="AC35" s="27">
        <v>8.6900000000000005E-2</v>
      </c>
      <c r="AD35" s="27">
        <v>7.0999999999999994E-2</v>
      </c>
      <c r="AE35" s="27">
        <v>8.9300000000000004E-2</v>
      </c>
      <c r="AF35" s="27">
        <v>9.5299999999999996E-2</v>
      </c>
      <c r="AG35" s="27">
        <v>9.1700000000000004E-2</v>
      </c>
      <c r="AH35" s="27">
        <v>8.3099999999999993E-2</v>
      </c>
      <c r="AI35" s="27">
        <v>8.8999999999999996E-2</v>
      </c>
      <c r="AJ35" s="27">
        <v>8.9499999999999996E-2</v>
      </c>
      <c r="AK35" s="27">
        <v>9.6500000000000002E-2</v>
      </c>
      <c r="AL35" s="27">
        <v>0.1013</v>
      </c>
      <c r="AM35" s="27">
        <v>9.9900000000000003E-2</v>
      </c>
      <c r="AN35" s="27">
        <v>0.1026</v>
      </c>
      <c r="AO35" s="27">
        <v>0.104</v>
      </c>
      <c r="AP35" s="27">
        <v>0.1033</v>
      </c>
      <c r="AQ35" s="27">
        <v>0.1094</v>
      </c>
      <c r="AR35" s="27">
        <v>0.1135</v>
      </c>
      <c r="AS35" s="27">
        <v>0.1149</v>
      </c>
      <c r="AT35" s="27">
        <v>0.1229</v>
      </c>
      <c r="AU35" s="27">
        <v>0.12870000000000001</v>
      </c>
      <c r="AV35" s="27">
        <v>0.12759999999999999</v>
      </c>
      <c r="AW35" s="27">
        <v>0.1313</v>
      </c>
      <c r="AX35" s="27">
        <v>0.1288</v>
      </c>
      <c r="AY35" s="27">
        <v>0.1295</v>
      </c>
      <c r="AZ35" s="27">
        <v>0.1275</v>
      </c>
      <c r="BA35" s="27">
        <v>0.13220000000000001</v>
      </c>
      <c r="BB35" s="27">
        <v>0.12520000000000001</v>
      </c>
      <c r="BC35" s="27">
        <v>0.1283</v>
      </c>
      <c r="BD35" s="27">
        <v>0.12659999999999999</v>
      </c>
      <c r="BE35" s="27">
        <v>0.124</v>
      </c>
      <c r="BF35" s="27">
        <v>0.12620000000000001</v>
      </c>
      <c r="BG35" s="27">
        <v>0.1234</v>
      </c>
      <c r="BH35" s="27">
        <v>0.12429999999999999</v>
      </c>
      <c r="BI35" s="27">
        <v>0.12509999999999999</v>
      </c>
      <c r="BJ35" s="27">
        <v>0.124</v>
      </c>
      <c r="BK35" s="27">
        <v>0.1249</v>
      </c>
      <c r="BL35" s="27">
        <v>8.5000000000000006E-2</v>
      </c>
      <c r="BM35" s="27">
        <v>0.1169</v>
      </c>
      <c r="BN35" s="27">
        <v>0.11260000000000001</v>
      </c>
      <c r="BO35" s="27">
        <v>0.11550000000000001</v>
      </c>
      <c r="BP35" s="27">
        <v>0.11849999999999999</v>
      </c>
      <c r="BQ35" s="27">
        <v>0.11890000000000001</v>
      </c>
      <c r="BR35" s="27">
        <v>0.1158</v>
      </c>
      <c r="BS35" s="27">
        <v>0.11509999999999999</v>
      </c>
      <c r="BT35" s="27">
        <v>0.11070000000000001</v>
      </c>
      <c r="BU35" s="27">
        <v>0.11</v>
      </c>
      <c r="BV35" s="27">
        <v>0.1062</v>
      </c>
      <c r="BW35" s="27">
        <v>0.1055</v>
      </c>
      <c r="BX35" s="27">
        <v>0.1031</v>
      </c>
      <c r="BY35" s="27">
        <v>0.1031</v>
      </c>
      <c r="BZ35" s="27">
        <v>0.10009999999999999</v>
      </c>
      <c r="CA35" s="27">
        <v>0.1014</v>
      </c>
      <c r="CB35" s="27">
        <v>0.1057</v>
      </c>
      <c r="CC35" s="27">
        <v>0.1057</v>
      </c>
      <c r="CD35" s="27">
        <v>0.10489999999999999</v>
      </c>
      <c r="CE35" s="27">
        <v>0.1062</v>
      </c>
      <c r="CF35" s="27">
        <v>0.1082</v>
      </c>
      <c r="CG35" s="27">
        <v>0.1113</v>
      </c>
      <c r="CH35" s="27">
        <v>0.10979999999999999</v>
      </c>
      <c r="CI35" s="27">
        <v>0.1084</v>
      </c>
      <c r="CJ35" s="27">
        <v>0.1109</v>
      </c>
      <c r="CK35" s="27">
        <v>0.11119999999999999</v>
      </c>
      <c r="CL35" s="27">
        <v>0.1095</v>
      </c>
      <c r="CM35" s="27">
        <v>0.1125</v>
      </c>
      <c r="CN35" s="27">
        <v>0.10979999999999999</v>
      </c>
      <c r="CO35" s="27">
        <v>0.1116</v>
      </c>
      <c r="CP35" s="27">
        <v>0.1113</v>
      </c>
      <c r="CQ35" s="27">
        <v>0.1111</v>
      </c>
      <c r="CR35" s="27">
        <v>0.1077</v>
      </c>
      <c r="CS35" s="27">
        <v>0.1115</v>
      </c>
      <c r="CT35" s="27">
        <v>0.11409999999999999</v>
      </c>
      <c r="CU35" s="27">
        <v>0.1128</v>
      </c>
      <c r="CV35" s="27">
        <v>0.1123</v>
      </c>
      <c r="CW35" s="27">
        <v>0.1119</v>
      </c>
      <c r="CX35" s="27">
        <v>0.1057</v>
      </c>
      <c r="CY35" s="27">
        <v>0.1051</v>
      </c>
      <c r="CZ35" s="27">
        <v>0.1071</v>
      </c>
      <c r="DA35" s="27">
        <v>0.11119999999999999</v>
      </c>
      <c r="DB35" s="27">
        <v>0.1024</v>
      </c>
      <c r="DC35" s="27">
        <v>0.10639999999999999</v>
      </c>
      <c r="DD35" s="27">
        <v>9.9000000000000005E-2</v>
      </c>
      <c r="DE35" s="27">
        <v>9.7799999999999998E-2</v>
      </c>
      <c r="DF35" s="27">
        <v>9.4700000000000006E-2</v>
      </c>
      <c r="DG35" s="27">
        <v>9.4899999999999998E-2</v>
      </c>
      <c r="DH35" s="27">
        <v>9.4500000000000001E-2</v>
      </c>
      <c r="DI35" s="27">
        <v>9.3600000000000003E-2</v>
      </c>
      <c r="DJ35" s="27">
        <v>9.1999999999999998E-2</v>
      </c>
      <c r="DK35" s="27">
        <v>9.35E-2</v>
      </c>
      <c r="DL35" s="27">
        <v>9.4299999999999995E-2</v>
      </c>
      <c r="DM35" s="27">
        <v>9.3299999999999994E-2</v>
      </c>
      <c r="DN35" s="27">
        <v>9.3100000000000002E-2</v>
      </c>
      <c r="DO35" s="27">
        <v>9.35E-2</v>
      </c>
      <c r="DP35" s="27">
        <v>9.4399999999999998E-2</v>
      </c>
      <c r="DQ35" s="27">
        <v>9.3799999999999994E-2</v>
      </c>
      <c r="DR35" s="27">
        <v>9.3100000000000002E-2</v>
      </c>
      <c r="DS35" s="27">
        <v>9.0399999999999994E-2</v>
      </c>
      <c r="DT35" s="27">
        <v>8.0299999999999996E-2</v>
      </c>
      <c r="DU35" s="27">
        <v>7.6300000000000007E-2</v>
      </c>
      <c r="DV35" s="27">
        <v>7.3599999999999999E-2</v>
      </c>
      <c r="DW35" s="27">
        <v>7.5499999999999998E-2</v>
      </c>
      <c r="DX35" s="27">
        <v>7.4800000000000005E-2</v>
      </c>
      <c r="DY35" s="27">
        <v>6.7400000000000002E-2</v>
      </c>
      <c r="DZ35" s="27">
        <v>6.6000000000000003E-2</v>
      </c>
      <c r="EA35" s="27">
        <v>6.5699999999999995E-2</v>
      </c>
      <c r="EB35" s="27">
        <v>6.5100000000000005E-2</v>
      </c>
      <c r="EC35" s="27">
        <v>6.6100000000000006E-2</v>
      </c>
      <c r="ED35" s="27">
        <v>6.54E-2</v>
      </c>
      <c r="EE35" s="27">
        <v>6.4600000000000005E-2</v>
      </c>
      <c r="EF35" s="27">
        <v>6.4299999999999996E-2</v>
      </c>
      <c r="EG35" s="27">
        <v>6.3500000000000001E-2</v>
      </c>
      <c r="EH35" s="27">
        <v>6.2300000000000001E-2</v>
      </c>
      <c r="EI35" s="27">
        <v>6.4299999999999996E-2</v>
      </c>
      <c r="EJ35" s="27">
        <v>6.4699999999999994E-2</v>
      </c>
      <c r="EK35" s="27">
        <v>6.4100000000000004E-2</v>
      </c>
      <c r="EL35" s="27">
        <v>6.3700000000000007E-2</v>
      </c>
      <c r="EM35" s="27">
        <v>6.5199999999999994E-2</v>
      </c>
      <c r="EN35" s="27">
        <v>6.4100000000000004E-2</v>
      </c>
      <c r="EO35" s="27">
        <v>6.2600000000000003E-2</v>
      </c>
      <c r="EP35" s="27">
        <v>6.1100000000000002E-2</v>
      </c>
      <c r="EQ35" s="27">
        <v>6.3100000000000003E-2</v>
      </c>
      <c r="ER35" s="27">
        <v>6.2799999999999995E-2</v>
      </c>
      <c r="ES35" s="27">
        <v>6.25E-2</v>
      </c>
      <c r="ET35" s="27">
        <v>6.1899999999999997E-2</v>
      </c>
      <c r="EU35" s="27">
        <v>6.25E-2</v>
      </c>
      <c r="EV35" s="27">
        <v>6.2799999999999995E-2</v>
      </c>
      <c r="EW35" s="27">
        <v>6.2100000000000002E-2</v>
      </c>
      <c r="EX35" s="27">
        <v>6.1699999999999998E-2</v>
      </c>
      <c r="EY35" s="27">
        <v>6.3E-2</v>
      </c>
      <c r="EZ35" s="27">
        <v>6.08E-2</v>
      </c>
      <c r="FA35" s="27">
        <v>6.1699999999999998E-2</v>
      </c>
      <c r="FB35" s="27">
        <v>6.3100000000000003E-2</v>
      </c>
      <c r="FC35" s="27">
        <v>6.3600000000000004E-2</v>
      </c>
      <c r="FD35" s="27">
        <v>6.2399999999999997E-2</v>
      </c>
      <c r="FE35" s="27">
        <v>6.2300000000000001E-2</v>
      </c>
      <c r="FF35" s="27">
        <v>6.0199999999999997E-2</v>
      </c>
      <c r="FG35" s="27">
        <v>6.3799999999999996E-2</v>
      </c>
      <c r="FH35" s="27">
        <v>6.2600000000000003E-2</v>
      </c>
      <c r="FI35" s="27">
        <v>6.2199999999999998E-2</v>
      </c>
      <c r="FJ35" s="27">
        <v>6.3799999999999996E-2</v>
      </c>
      <c r="FK35" s="27">
        <v>6.4399999999999999E-2</v>
      </c>
      <c r="FL35" s="27">
        <v>6.3299999999999995E-2</v>
      </c>
      <c r="FM35" s="27">
        <v>6.4100000000000004E-2</v>
      </c>
      <c r="FN35" s="27">
        <v>6.3500000000000001E-2</v>
      </c>
      <c r="FO35" s="27">
        <v>6.3600000000000004E-2</v>
      </c>
      <c r="FP35" s="27">
        <v>6.3700000000000007E-2</v>
      </c>
      <c r="FQ35" s="27">
        <v>6.3200000000000006E-2</v>
      </c>
      <c r="FR35" s="27">
        <v>6.1600000000000002E-2</v>
      </c>
      <c r="FS35" s="27">
        <v>6.5799999999999997E-2</v>
      </c>
      <c r="FT35" s="27">
        <v>6.59E-2</v>
      </c>
      <c r="FU35" s="27">
        <v>6.5199999999999994E-2</v>
      </c>
      <c r="FV35" s="27">
        <v>6.3899999999999998E-2</v>
      </c>
      <c r="FW35" s="27">
        <v>6.4199999999999993E-2</v>
      </c>
      <c r="FX35" s="27">
        <v>6.3799999999999996E-2</v>
      </c>
      <c r="FY35" s="27">
        <v>6.4000000000000001E-2</v>
      </c>
      <c r="FZ35" s="26">
        <v>6.3E-2</v>
      </c>
      <c r="GA35" s="22">
        <v>6.3899999999999998E-2</v>
      </c>
      <c r="GB35" s="22">
        <v>6.3600000000000004E-2</v>
      </c>
      <c r="GC35" s="22">
        <v>6.4100000000000004E-2</v>
      </c>
      <c r="GD35" s="22">
        <v>6.2199999999999998E-2</v>
      </c>
      <c r="GE35" s="22">
        <v>6.54E-2</v>
      </c>
      <c r="GF35" s="22">
        <v>6.5199999999999994E-2</v>
      </c>
      <c r="GG35" s="27">
        <v>5.9700000000000003E-2</v>
      </c>
      <c r="GH35" s="26">
        <v>5.0200000000000002E-2</v>
      </c>
      <c r="GI35" s="26">
        <v>4.9299999999999997E-2</v>
      </c>
      <c r="GJ35" s="22">
        <v>4.8599999999999997E-2</v>
      </c>
      <c r="GK35" s="22">
        <v>4.8000000000000001E-2</v>
      </c>
      <c r="GL35" s="27">
        <v>4.65E-2</v>
      </c>
      <c r="GM35" s="27">
        <v>4.6899999999999997E-2</v>
      </c>
      <c r="GN35" s="26">
        <v>4.5699999999999998E-2</v>
      </c>
      <c r="GO35" s="22">
        <v>4.4699999999999997E-2</v>
      </c>
      <c r="GP35" s="22">
        <v>4.3499999999999997E-2</v>
      </c>
      <c r="GQ35" s="22">
        <v>4.5699999999999998E-2</v>
      </c>
      <c r="GR35" s="25">
        <v>4.53E-2</v>
      </c>
      <c r="GS35" s="24">
        <v>4.53E-2</v>
      </c>
      <c r="GT35" s="23">
        <v>4.48E-2</v>
      </c>
      <c r="GU35" s="22">
        <v>4.53E-2</v>
      </c>
      <c r="GV35" s="25">
        <v>4.5699999999999998E-2</v>
      </c>
      <c r="GW35" s="24">
        <v>4.4999999999999998E-2</v>
      </c>
      <c r="GX35" s="23">
        <v>4.4999999999999998E-2</v>
      </c>
      <c r="GY35" s="22">
        <v>4.4699999999999997E-2</v>
      </c>
      <c r="GZ35" s="22">
        <v>4.5999999999999999E-2</v>
      </c>
      <c r="HA35" s="25">
        <v>5.0500000000000003E-2</v>
      </c>
      <c r="HB35" s="25">
        <v>5.8400000000000001E-2</v>
      </c>
      <c r="HC35" s="25">
        <v>6.7299999999999999E-2</v>
      </c>
      <c r="HD35" s="25">
        <v>7.2999999999999995E-2</v>
      </c>
      <c r="HE35" s="25">
        <v>7.3899999999999993E-2</v>
      </c>
      <c r="HF35" s="25">
        <v>8.0600000000000005E-2</v>
      </c>
      <c r="HG35" s="25">
        <v>8.9499999999999996E-2</v>
      </c>
      <c r="HH35" s="25">
        <v>9.7799999999999998E-2</v>
      </c>
      <c r="HI35" s="25">
        <v>0.1038</v>
      </c>
      <c r="HJ35" s="25">
        <v>0.1057</v>
      </c>
      <c r="HK35" s="25">
        <v>0.1091</v>
      </c>
      <c r="HL35" s="23">
        <v>0.1106</v>
      </c>
      <c r="HM35" s="23">
        <v>0.1081</v>
      </c>
      <c r="HN35" s="23">
        <v>0.10979999999999999</v>
      </c>
      <c r="HO35" s="23">
        <v>0.11219999999999999</v>
      </c>
      <c r="HP35" s="23">
        <v>0.1109</v>
      </c>
      <c r="HQ35" s="23">
        <v>0.10920000000000001</v>
      </c>
      <c r="HR35" s="23">
        <v>0.11</v>
      </c>
      <c r="HS35" s="23">
        <v>0.1104</v>
      </c>
      <c r="HT35" s="23">
        <v>0.11</v>
      </c>
      <c r="HU35" s="23">
        <v>0.109</v>
      </c>
      <c r="HV35" s="23">
        <v>0.104</v>
      </c>
      <c r="HW35" s="23">
        <v>0.1012</v>
      </c>
      <c r="HX35" s="23">
        <v>9.8100000000000007E-2</v>
      </c>
      <c r="HY35" s="22">
        <v>9.4600000000000004E-2</v>
      </c>
      <c r="HZ35" s="25">
        <v>9.5600000000000004E-2</v>
      </c>
      <c r="IA35" s="23">
        <v>9.5399999999999999E-2</v>
      </c>
      <c r="IB35" s="23">
        <v>9.6100000000000005E-2</v>
      </c>
      <c r="IC35" s="22">
        <v>9.74E-2</v>
      </c>
      <c r="ID35" s="22">
        <v>0.1023</v>
      </c>
      <c r="IE35" s="25">
        <v>0.1045</v>
      </c>
      <c r="IF35" s="24">
        <v>0.10340000000000001</v>
      </c>
      <c r="IG35" s="24">
        <v>0.1091</v>
      </c>
      <c r="IH35" s="24">
        <v>0.10680000000000001</v>
      </c>
      <c r="II35" s="25">
        <v>0.10580000000000001</v>
      </c>
      <c r="IJ35" s="25">
        <v>0.10390000000000001</v>
      </c>
      <c r="IK35" s="25">
        <v>0.10059999999999999</v>
      </c>
      <c r="IL35" s="25">
        <v>0.1</v>
      </c>
      <c r="IM35" s="24">
        <v>0.104</v>
      </c>
      <c r="IN35" s="23">
        <v>0.10489999999999999</v>
      </c>
      <c r="IO35" s="22">
        <v>0.10349999999999999</v>
      </c>
      <c r="IP35" s="25">
        <v>0.1017</v>
      </c>
      <c r="IQ35" s="25">
        <v>9.9400000000000002E-2</v>
      </c>
      <c r="IR35" s="24">
        <v>9.7600000000000006E-2</v>
      </c>
      <c r="IS35" s="24">
        <v>9.5899999999999999E-2</v>
      </c>
      <c r="IT35" s="24">
        <v>9.4100000000000003E-2</v>
      </c>
      <c r="IU35" s="24">
        <v>9.2299999999999993E-2</v>
      </c>
      <c r="IV35" s="25">
        <v>9.0399999999999994E-2</v>
      </c>
      <c r="IW35" s="25">
        <v>8.5699999999999998E-2</v>
      </c>
      <c r="IX35" s="25">
        <v>8.4099999999999994E-2</v>
      </c>
      <c r="IY35" s="23">
        <v>8.7300000000000003E-2</v>
      </c>
      <c r="IZ35" s="22">
        <v>8.4400000000000003E-2</v>
      </c>
      <c r="JA35" s="22">
        <v>8.14E-2</v>
      </c>
      <c r="JB35" s="22">
        <v>8.1299999999999997E-2</v>
      </c>
      <c r="JC35" s="24">
        <v>8.1699999999999995E-2</v>
      </c>
      <c r="JD35" s="23">
        <v>8.1900000000000001E-2</v>
      </c>
      <c r="JE35" s="22">
        <v>7.9399999999999998E-2</v>
      </c>
    </row>
    <row r="36" spans="1:265" ht="12.75" customHeight="1">
      <c r="A36" s="60"/>
      <c r="B36" s="59" t="s">
        <v>46</v>
      </c>
      <c r="C36" s="59" t="s">
        <v>45</v>
      </c>
      <c r="D36" s="29" t="s">
        <v>32</v>
      </c>
      <c r="E36" s="20">
        <v>34</v>
      </c>
      <c r="F36" s="19" t="s">
        <v>44</v>
      </c>
      <c r="G36" s="18" t="s">
        <v>21</v>
      </c>
      <c r="H36" s="18" t="s">
        <v>21</v>
      </c>
      <c r="I36" s="18" t="s">
        <v>21</v>
      </c>
      <c r="J36" s="18" t="s">
        <v>21</v>
      </c>
      <c r="K36" s="18" t="s">
        <v>21</v>
      </c>
      <c r="L36" s="18" t="s">
        <v>21</v>
      </c>
      <c r="M36" s="18" t="s">
        <v>21</v>
      </c>
      <c r="N36" s="18" t="s">
        <v>21</v>
      </c>
      <c r="O36" s="18" t="s">
        <v>21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21</v>
      </c>
      <c r="U36" s="18" t="s">
        <v>21</v>
      </c>
      <c r="V36" s="18" t="s">
        <v>21</v>
      </c>
      <c r="W36" s="18" t="s">
        <v>21</v>
      </c>
      <c r="X36" s="18" t="s">
        <v>21</v>
      </c>
      <c r="Y36" s="18" t="s">
        <v>21</v>
      </c>
      <c r="Z36" s="18" t="s">
        <v>21</v>
      </c>
      <c r="AA36" s="18" t="s">
        <v>21</v>
      </c>
      <c r="AB36" s="18" t="s">
        <v>21</v>
      </c>
      <c r="AC36" s="18" t="s">
        <v>21</v>
      </c>
      <c r="AD36" s="18" t="s">
        <v>21</v>
      </c>
      <c r="AE36" s="18" t="s">
        <v>21</v>
      </c>
      <c r="AF36" s="18" t="s">
        <v>21</v>
      </c>
      <c r="AG36" s="18" t="s">
        <v>21</v>
      </c>
      <c r="AH36" s="18" t="s">
        <v>21</v>
      </c>
      <c r="AI36" s="18" t="s">
        <v>21</v>
      </c>
      <c r="AJ36" s="18" t="s">
        <v>21</v>
      </c>
      <c r="AK36" s="18" t="s">
        <v>21</v>
      </c>
      <c r="AL36" s="18" t="s">
        <v>21</v>
      </c>
      <c r="AM36" s="18" t="s">
        <v>21</v>
      </c>
      <c r="AN36" s="18" t="s">
        <v>21</v>
      </c>
      <c r="AO36" s="18" t="s">
        <v>21</v>
      </c>
      <c r="AP36" s="18" t="s">
        <v>21</v>
      </c>
      <c r="AQ36" s="18" t="s">
        <v>21</v>
      </c>
      <c r="AR36" s="18" t="s">
        <v>21</v>
      </c>
      <c r="AS36" s="18" t="s">
        <v>21</v>
      </c>
      <c r="AT36" s="18" t="s">
        <v>21</v>
      </c>
      <c r="AU36" s="18" t="s">
        <v>21</v>
      </c>
      <c r="AV36" s="18" t="s">
        <v>21</v>
      </c>
      <c r="AW36" s="18" t="s">
        <v>21</v>
      </c>
      <c r="AX36" s="18" t="s">
        <v>21</v>
      </c>
      <c r="AY36" s="18" t="s">
        <v>21</v>
      </c>
      <c r="AZ36" s="18" t="s">
        <v>21</v>
      </c>
      <c r="BA36" s="18" t="s">
        <v>21</v>
      </c>
      <c r="BB36" s="18" t="s">
        <v>21</v>
      </c>
      <c r="BC36" s="18" t="s">
        <v>21</v>
      </c>
      <c r="BD36" s="18" t="s">
        <v>21</v>
      </c>
      <c r="BE36" s="18" t="s">
        <v>21</v>
      </c>
      <c r="BF36" s="18" t="s">
        <v>21</v>
      </c>
      <c r="BG36" s="18" t="s">
        <v>21</v>
      </c>
      <c r="BH36" s="18" t="s">
        <v>21</v>
      </c>
      <c r="BI36" s="18" t="s">
        <v>21</v>
      </c>
      <c r="BJ36" s="18" t="s">
        <v>21</v>
      </c>
      <c r="BK36" s="18" t="s">
        <v>21</v>
      </c>
      <c r="BL36" s="18" t="s">
        <v>21</v>
      </c>
      <c r="BM36" s="18" t="s">
        <v>21</v>
      </c>
      <c r="BN36" s="18" t="s">
        <v>21</v>
      </c>
      <c r="BO36" s="18" t="s">
        <v>21</v>
      </c>
      <c r="BP36" s="18" t="s">
        <v>21</v>
      </c>
      <c r="BQ36" s="18" t="s">
        <v>21</v>
      </c>
      <c r="BR36" s="18" t="s">
        <v>21</v>
      </c>
      <c r="BS36" s="18" t="s">
        <v>21</v>
      </c>
      <c r="BT36" s="18">
        <v>6.5100000000000005E-2</v>
      </c>
      <c r="BU36" s="18">
        <v>6.4799999999999996E-2</v>
      </c>
      <c r="BV36" s="18">
        <v>6.4600000000000005E-2</v>
      </c>
      <c r="BW36" s="18">
        <v>6.3500000000000001E-2</v>
      </c>
      <c r="BX36" s="18">
        <v>6.2199999999999998E-2</v>
      </c>
      <c r="BY36" s="18">
        <v>6.2E-2</v>
      </c>
      <c r="BZ36" s="18">
        <v>6.1400000000000003E-2</v>
      </c>
      <c r="CA36" s="18">
        <v>6.2600000000000003E-2</v>
      </c>
      <c r="CB36" s="18">
        <v>6.4699999999999994E-2</v>
      </c>
      <c r="CC36" s="18">
        <v>6.2700000000000006E-2</v>
      </c>
      <c r="CD36" s="18">
        <v>6.2700000000000006E-2</v>
      </c>
      <c r="CE36" s="18">
        <v>6.4699999999999994E-2</v>
      </c>
      <c r="CF36" s="18">
        <v>6.5699999999999995E-2</v>
      </c>
      <c r="CG36" s="18">
        <v>6.6400000000000001E-2</v>
      </c>
      <c r="CH36" s="18">
        <v>6.7199999999999996E-2</v>
      </c>
      <c r="CI36" s="18">
        <v>6.6400000000000001E-2</v>
      </c>
      <c r="CJ36" s="18">
        <v>6.7000000000000004E-2</v>
      </c>
      <c r="CK36" s="18">
        <v>6.7100000000000007E-2</v>
      </c>
      <c r="CL36" s="18">
        <v>6.6900000000000001E-2</v>
      </c>
      <c r="CM36" s="18">
        <v>6.6900000000000001E-2</v>
      </c>
      <c r="CN36" s="18">
        <v>6.7500000000000004E-2</v>
      </c>
      <c r="CO36" s="18">
        <v>6.7299999999999999E-2</v>
      </c>
      <c r="CP36" s="18">
        <v>6.7599999999999993E-2</v>
      </c>
      <c r="CQ36" s="18">
        <v>6.9699999999999998E-2</v>
      </c>
      <c r="CR36" s="18">
        <v>6.8599999999999994E-2</v>
      </c>
      <c r="CS36" s="18">
        <v>6.9199999999999998E-2</v>
      </c>
      <c r="CT36" s="18">
        <v>6.9599999999999995E-2</v>
      </c>
      <c r="CU36" s="18">
        <v>6.88E-2</v>
      </c>
      <c r="CV36" s="18">
        <v>6.7599999999999993E-2</v>
      </c>
      <c r="CW36" s="18">
        <v>6.5799999999999997E-2</v>
      </c>
      <c r="CX36" s="18">
        <v>6.3100000000000003E-2</v>
      </c>
      <c r="CY36" s="18">
        <v>5.9799999999999999E-2</v>
      </c>
      <c r="CZ36" s="18">
        <v>5.8200000000000002E-2</v>
      </c>
      <c r="DA36" s="18">
        <v>5.45E-2</v>
      </c>
      <c r="DB36" s="18">
        <v>5.2999999999999999E-2</v>
      </c>
      <c r="DC36" s="18">
        <v>5.0599999999999999E-2</v>
      </c>
      <c r="DD36" s="18">
        <v>4.6800000000000001E-2</v>
      </c>
      <c r="DE36" s="18">
        <v>4.58E-2</v>
      </c>
      <c r="DF36" s="18">
        <v>4.4699999999999997E-2</v>
      </c>
      <c r="DG36" s="18">
        <v>4.4600000000000001E-2</v>
      </c>
      <c r="DH36" s="18">
        <v>4.4400000000000002E-2</v>
      </c>
      <c r="DI36" s="18">
        <v>4.2500000000000003E-2</v>
      </c>
      <c r="DJ36" s="18">
        <v>4.3700000000000003E-2</v>
      </c>
      <c r="DK36" s="18">
        <v>4.3900000000000002E-2</v>
      </c>
      <c r="DL36" s="18">
        <v>4.41E-2</v>
      </c>
      <c r="DM36" s="18">
        <v>4.4299999999999999E-2</v>
      </c>
      <c r="DN36" s="18">
        <v>4.4299999999999999E-2</v>
      </c>
      <c r="DO36" s="18">
        <v>4.5499999999999999E-2</v>
      </c>
      <c r="DP36" s="18">
        <v>4.3900000000000002E-2</v>
      </c>
      <c r="DQ36" s="18">
        <v>4.3799999999999999E-2</v>
      </c>
      <c r="DR36" s="18">
        <v>4.3999999999999997E-2</v>
      </c>
      <c r="DS36" s="18">
        <v>4.2200000000000001E-2</v>
      </c>
      <c r="DT36" s="18">
        <v>3.9699999999999999E-2</v>
      </c>
      <c r="DU36" s="18">
        <v>3.6600000000000001E-2</v>
      </c>
      <c r="DV36" s="18">
        <v>3.6900000000000002E-2</v>
      </c>
      <c r="DW36" s="18">
        <v>3.8199999999999998E-2</v>
      </c>
      <c r="DX36" s="18">
        <v>3.6299999999999999E-2</v>
      </c>
      <c r="DY36" s="18">
        <v>3.5299999999999998E-2</v>
      </c>
      <c r="DZ36" s="18">
        <v>3.27E-2</v>
      </c>
      <c r="EA36" s="18">
        <v>3.2399999999999998E-2</v>
      </c>
      <c r="EB36" s="18">
        <v>3.4099999999999998E-2</v>
      </c>
      <c r="EC36" s="18">
        <v>3.3599999999999998E-2</v>
      </c>
      <c r="ED36" s="18">
        <v>3.2300000000000002E-2</v>
      </c>
      <c r="EE36" s="18">
        <v>3.4200000000000001E-2</v>
      </c>
      <c r="EF36" s="18">
        <v>3.44E-2</v>
      </c>
      <c r="EG36" s="18">
        <v>3.3399999999999999E-2</v>
      </c>
      <c r="EH36" s="18">
        <v>3.15E-2</v>
      </c>
      <c r="EI36" s="18">
        <v>3.0700000000000002E-2</v>
      </c>
      <c r="EJ36" s="18">
        <v>3.1600000000000003E-2</v>
      </c>
      <c r="EK36" s="18">
        <v>3.1300000000000001E-2</v>
      </c>
      <c r="EL36" s="18">
        <v>3.2000000000000001E-2</v>
      </c>
      <c r="EM36" s="18">
        <v>3.15E-2</v>
      </c>
      <c r="EN36" s="18">
        <v>3.1300000000000001E-2</v>
      </c>
      <c r="EO36" s="18">
        <v>3.3799999999999997E-2</v>
      </c>
      <c r="EP36" s="18">
        <v>3.4099999999999998E-2</v>
      </c>
      <c r="EQ36" s="18">
        <v>3.3799999999999997E-2</v>
      </c>
      <c r="ER36" s="18">
        <v>3.5000000000000003E-2</v>
      </c>
      <c r="ES36" s="18">
        <v>3.3599999999999998E-2</v>
      </c>
      <c r="ET36" s="18">
        <v>3.2899999999999999E-2</v>
      </c>
      <c r="EU36" s="18">
        <v>3.3700000000000001E-2</v>
      </c>
      <c r="EV36" s="18">
        <v>3.3300000000000003E-2</v>
      </c>
      <c r="EW36" s="18">
        <v>3.3700000000000001E-2</v>
      </c>
      <c r="EX36" s="18">
        <v>3.3500000000000002E-2</v>
      </c>
      <c r="EY36" s="18">
        <v>3.3399999999999999E-2</v>
      </c>
      <c r="EZ36" s="18">
        <v>3.3700000000000001E-2</v>
      </c>
      <c r="FA36" s="18">
        <v>3.4000000000000002E-2</v>
      </c>
      <c r="FB36" s="18">
        <v>3.32E-2</v>
      </c>
      <c r="FC36" s="18">
        <v>3.3000000000000002E-2</v>
      </c>
      <c r="FD36" s="18">
        <v>3.3399999999999999E-2</v>
      </c>
      <c r="FE36" s="18">
        <v>3.3099999999999997E-2</v>
      </c>
      <c r="FF36" s="18">
        <v>3.2000000000000001E-2</v>
      </c>
      <c r="FG36" s="18">
        <v>3.2300000000000002E-2</v>
      </c>
      <c r="FH36" s="18">
        <v>3.2300000000000002E-2</v>
      </c>
      <c r="FI36" s="18">
        <v>3.1399999999999997E-2</v>
      </c>
      <c r="FJ36" s="18">
        <v>3.2300000000000002E-2</v>
      </c>
      <c r="FK36" s="18">
        <v>3.2199999999999999E-2</v>
      </c>
      <c r="FL36" s="18">
        <v>3.09E-2</v>
      </c>
      <c r="FM36" s="18">
        <v>3.2300000000000002E-2</v>
      </c>
      <c r="FN36" s="18">
        <v>3.2099999999999997E-2</v>
      </c>
      <c r="FO36" s="18">
        <v>3.1899999999999998E-2</v>
      </c>
      <c r="FP36" s="18">
        <v>3.2399999999999998E-2</v>
      </c>
      <c r="FQ36" s="18">
        <v>3.1800000000000002E-2</v>
      </c>
      <c r="FR36" s="18">
        <v>3.15E-2</v>
      </c>
      <c r="FS36" s="18">
        <v>3.1199999999999999E-2</v>
      </c>
      <c r="FT36" s="18">
        <v>3.27E-2</v>
      </c>
      <c r="FU36" s="18">
        <v>3.2000000000000001E-2</v>
      </c>
      <c r="FV36" s="18">
        <v>3.2099999999999997E-2</v>
      </c>
      <c r="FW36" s="18">
        <v>3.3000000000000002E-2</v>
      </c>
      <c r="FX36" s="18">
        <v>3.2099999999999997E-2</v>
      </c>
      <c r="FY36" s="18">
        <v>3.2800000000000003E-2</v>
      </c>
      <c r="FZ36" s="17">
        <v>3.2500000000000001E-2</v>
      </c>
      <c r="GA36" s="13">
        <v>3.15E-2</v>
      </c>
      <c r="GB36" s="13">
        <v>3.2099999999999997E-2</v>
      </c>
      <c r="GC36" s="13">
        <v>3.1099999999999999E-2</v>
      </c>
      <c r="GD36" s="13">
        <v>3.0499999999999999E-2</v>
      </c>
      <c r="GE36" s="13">
        <v>3.1600000000000003E-2</v>
      </c>
      <c r="GF36" s="13">
        <v>3.1300000000000001E-2</v>
      </c>
      <c r="GG36" s="18">
        <v>2.93E-2</v>
      </c>
      <c r="GH36" s="17">
        <v>2.29E-2</v>
      </c>
      <c r="GI36" s="17">
        <v>2.0199999999999999E-2</v>
      </c>
      <c r="GJ36" s="13">
        <v>1.6799999999999999E-2</v>
      </c>
      <c r="GK36" s="13">
        <v>1.77E-2</v>
      </c>
      <c r="GL36" s="18">
        <v>1.7000000000000001E-2</v>
      </c>
      <c r="GM36" s="18">
        <v>1.6899999999999998E-2</v>
      </c>
      <c r="GN36" s="17">
        <v>1.7399999999999999E-2</v>
      </c>
      <c r="GO36" s="13">
        <v>1.7100000000000001E-2</v>
      </c>
      <c r="GP36" s="13">
        <v>1.67E-2</v>
      </c>
      <c r="GQ36" s="13">
        <v>1.6299999999999999E-2</v>
      </c>
      <c r="GR36" s="16">
        <v>1.6299999999999999E-2</v>
      </c>
      <c r="GS36" s="15">
        <v>1.67E-2</v>
      </c>
      <c r="GT36" s="14">
        <v>1.72E-2</v>
      </c>
      <c r="GU36" s="13">
        <v>1.7299999999999999E-2</v>
      </c>
      <c r="GV36" s="16">
        <v>1.72E-2</v>
      </c>
      <c r="GW36" s="15">
        <v>1.83E-2</v>
      </c>
      <c r="GX36" s="14">
        <v>1.7899999999999999E-2</v>
      </c>
      <c r="GY36" s="13">
        <v>1.72E-2</v>
      </c>
      <c r="GZ36" s="13">
        <v>2.1000000000000001E-2</v>
      </c>
      <c r="HA36" s="16">
        <v>2.7799999999999998E-2</v>
      </c>
      <c r="HB36" s="16">
        <v>3.4500000000000003E-2</v>
      </c>
      <c r="HC36" s="16">
        <v>3.9800000000000002E-2</v>
      </c>
      <c r="HD36" s="16">
        <v>4.41E-2</v>
      </c>
      <c r="HE36" s="16">
        <v>5.4399999999999997E-2</v>
      </c>
      <c r="HF36" s="16">
        <v>6.3700000000000007E-2</v>
      </c>
      <c r="HG36" s="16">
        <v>7.2400000000000006E-2</v>
      </c>
      <c r="HH36" s="16">
        <v>7.8100000000000003E-2</v>
      </c>
      <c r="HI36" s="16">
        <v>8.3400000000000002E-2</v>
      </c>
      <c r="HJ36" s="16">
        <v>8.3599999999999994E-2</v>
      </c>
      <c r="HK36" s="16">
        <v>8.4599999999999995E-2</v>
      </c>
      <c r="HL36" s="14">
        <v>8.48E-2</v>
      </c>
      <c r="HM36" s="14">
        <v>8.4699999999999998E-2</v>
      </c>
      <c r="HN36" s="14">
        <v>8.3500000000000005E-2</v>
      </c>
      <c r="HO36" s="14">
        <v>8.2600000000000007E-2</v>
      </c>
      <c r="HP36" s="14">
        <v>8.1699999999999995E-2</v>
      </c>
      <c r="HQ36" s="14">
        <v>8.1699999999999995E-2</v>
      </c>
      <c r="HR36" s="14">
        <v>8.2000000000000003E-2</v>
      </c>
      <c r="HS36" s="14">
        <v>8.2400000000000001E-2</v>
      </c>
      <c r="HT36" s="14">
        <v>8.43E-2</v>
      </c>
      <c r="HU36" s="14">
        <v>8.3099999999999993E-2</v>
      </c>
      <c r="HV36" s="14">
        <v>8.2100000000000006E-2</v>
      </c>
      <c r="HW36" s="14">
        <v>7.6499999999999999E-2</v>
      </c>
      <c r="HX36" s="14">
        <v>7.2300000000000003E-2</v>
      </c>
      <c r="HY36" s="13">
        <v>7.0999999999999994E-2</v>
      </c>
      <c r="HZ36" s="16">
        <v>7.2300000000000003E-2</v>
      </c>
      <c r="IA36" s="14">
        <v>7.1499999999999994E-2</v>
      </c>
      <c r="IB36" s="14">
        <v>7.0499999999999993E-2</v>
      </c>
      <c r="IC36" s="13">
        <v>7.0699999999999999E-2</v>
      </c>
      <c r="ID36" s="13">
        <v>7.0900000000000005E-2</v>
      </c>
      <c r="IE36" s="16">
        <v>7.1400000000000005E-2</v>
      </c>
      <c r="IF36" s="15">
        <v>7.1599999999999997E-2</v>
      </c>
      <c r="IG36" s="15">
        <v>7.2999999999999995E-2</v>
      </c>
      <c r="IH36" s="15">
        <v>7.2300000000000003E-2</v>
      </c>
      <c r="II36" s="16">
        <v>7.1900000000000006E-2</v>
      </c>
      <c r="IJ36" s="16">
        <v>7.1300000000000002E-2</v>
      </c>
      <c r="IK36" s="16">
        <v>7.1499999999999994E-2</v>
      </c>
      <c r="IL36" s="16">
        <v>7.1300000000000002E-2</v>
      </c>
      <c r="IM36" s="15">
        <v>7.1300000000000002E-2</v>
      </c>
      <c r="IN36" s="14">
        <v>7.1199999999999999E-2</v>
      </c>
      <c r="IO36" s="13">
        <v>7.1599999999999997E-2</v>
      </c>
      <c r="IP36" s="16">
        <v>6.9599999999999995E-2</v>
      </c>
      <c r="IQ36" s="16">
        <v>6.7199999999999996E-2</v>
      </c>
      <c r="IR36" s="15">
        <v>6.59E-2</v>
      </c>
      <c r="IS36" s="15">
        <v>6.6000000000000003E-2</v>
      </c>
      <c r="IT36" s="15">
        <v>6.4299999999999996E-2</v>
      </c>
      <c r="IU36" s="15">
        <v>6.1600000000000002E-2</v>
      </c>
      <c r="IV36" s="16">
        <v>6.0600000000000001E-2</v>
      </c>
      <c r="IW36" s="16">
        <v>5.67E-2</v>
      </c>
      <c r="IX36" s="16">
        <v>5.5100000000000003E-2</v>
      </c>
      <c r="IY36" s="14">
        <v>5.2200000000000003E-2</v>
      </c>
      <c r="IZ36" s="13">
        <v>5.2699999999999997E-2</v>
      </c>
      <c r="JA36" s="13">
        <v>6.0699999999999997E-2</v>
      </c>
      <c r="JB36" s="13">
        <v>5.9900000000000002E-2</v>
      </c>
      <c r="JC36" s="15">
        <v>6.13E-2</v>
      </c>
      <c r="JD36" s="14">
        <v>6.0499999999999998E-2</v>
      </c>
      <c r="JE36" s="13">
        <v>5.7799999999999997E-2</v>
      </c>
    </row>
    <row r="37" spans="1:265" ht="12.75" customHeight="1">
      <c r="A37" s="60"/>
      <c r="B37" s="60"/>
      <c r="C37" s="60"/>
      <c r="D37" s="29" t="s">
        <v>30</v>
      </c>
      <c r="E37" s="20">
        <v>35</v>
      </c>
      <c r="F37" s="19" t="s">
        <v>43</v>
      </c>
      <c r="G37" s="27" t="s">
        <v>21</v>
      </c>
      <c r="H37" s="27" t="s">
        <v>21</v>
      </c>
      <c r="I37" s="27" t="s">
        <v>21</v>
      </c>
      <c r="J37" s="27" t="s">
        <v>21</v>
      </c>
      <c r="K37" s="27" t="s">
        <v>21</v>
      </c>
      <c r="L37" s="27" t="s">
        <v>21</v>
      </c>
      <c r="M37" s="27" t="s">
        <v>21</v>
      </c>
      <c r="N37" s="27" t="s">
        <v>21</v>
      </c>
      <c r="O37" s="27" t="s">
        <v>21</v>
      </c>
      <c r="P37" s="27" t="s">
        <v>21</v>
      </c>
      <c r="Q37" s="27" t="s">
        <v>21</v>
      </c>
      <c r="R37" s="27" t="s">
        <v>21</v>
      </c>
      <c r="S37" s="27" t="s">
        <v>21</v>
      </c>
      <c r="T37" s="27" t="s">
        <v>21</v>
      </c>
      <c r="U37" s="27" t="s">
        <v>21</v>
      </c>
      <c r="V37" s="27" t="s">
        <v>21</v>
      </c>
      <c r="W37" s="27" t="s">
        <v>21</v>
      </c>
      <c r="X37" s="27" t="s">
        <v>21</v>
      </c>
      <c r="Y37" s="27" t="s">
        <v>21</v>
      </c>
      <c r="Z37" s="27" t="s">
        <v>21</v>
      </c>
      <c r="AA37" s="27" t="s">
        <v>21</v>
      </c>
      <c r="AB37" s="27" t="s">
        <v>21</v>
      </c>
      <c r="AC37" s="27" t="s">
        <v>21</v>
      </c>
      <c r="AD37" s="27" t="s">
        <v>21</v>
      </c>
      <c r="AE37" s="27" t="s">
        <v>21</v>
      </c>
      <c r="AF37" s="27" t="s">
        <v>21</v>
      </c>
      <c r="AG37" s="27" t="s">
        <v>21</v>
      </c>
      <c r="AH37" s="27" t="s">
        <v>21</v>
      </c>
      <c r="AI37" s="27" t="s">
        <v>21</v>
      </c>
      <c r="AJ37" s="27" t="s">
        <v>21</v>
      </c>
      <c r="AK37" s="27" t="s">
        <v>21</v>
      </c>
      <c r="AL37" s="27" t="s">
        <v>21</v>
      </c>
      <c r="AM37" s="27" t="s">
        <v>21</v>
      </c>
      <c r="AN37" s="27" t="s">
        <v>21</v>
      </c>
      <c r="AO37" s="27" t="s">
        <v>21</v>
      </c>
      <c r="AP37" s="27" t="s">
        <v>21</v>
      </c>
      <c r="AQ37" s="27" t="s">
        <v>21</v>
      </c>
      <c r="AR37" s="27" t="s">
        <v>21</v>
      </c>
      <c r="AS37" s="27" t="s">
        <v>21</v>
      </c>
      <c r="AT37" s="27" t="s">
        <v>21</v>
      </c>
      <c r="AU37" s="27" t="s">
        <v>21</v>
      </c>
      <c r="AV37" s="27" t="s">
        <v>21</v>
      </c>
      <c r="AW37" s="27" t="s">
        <v>21</v>
      </c>
      <c r="AX37" s="27" t="s">
        <v>21</v>
      </c>
      <c r="AY37" s="27" t="s">
        <v>21</v>
      </c>
      <c r="AZ37" s="27" t="s">
        <v>21</v>
      </c>
      <c r="BA37" s="27" t="s">
        <v>21</v>
      </c>
      <c r="BB37" s="27" t="s">
        <v>21</v>
      </c>
      <c r="BC37" s="27" t="s">
        <v>21</v>
      </c>
      <c r="BD37" s="27" t="s">
        <v>21</v>
      </c>
      <c r="BE37" s="27" t="s">
        <v>21</v>
      </c>
      <c r="BF37" s="27" t="s">
        <v>21</v>
      </c>
      <c r="BG37" s="27" t="s">
        <v>21</v>
      </c>
      <c r="BH37" s="27" t="s">
        <v>21</v>
      </c>
      <c r="BI37" s="27" t="s">
        <v>21</v>
      </c>
      <c r="BJ37" s="27" t="s">
        <v>21</v>
      </c>
      <c r="BK37" s="27" t="s">
        <v>21</v>
      </c>
      <c r="BL37" s="27" t="s">
        <v>21</v>
      </c>
      <c r="BM37" s="27" t="s">
        <v>21</v>
      </c>
      <c r="BN37" s="27" t="s">
        <v>21</v>
      </c>
      <c r="BO37" s="27" t="s">
        <v>21</v>
      </c>
      <c r="BP37" s="27" t="s">
        <v>21</v>
      </c>
      <c r="BQ37" s="27" t="s">
        <v>21</v>
      </c>
      <c r="BR37" s="27" t="s">
        <v>21</v>
      </c>
      <c r="BS37" s="27" t="s">
        <v>21</v>
      </c>
      <c r="BT37" s="27">
        <v>6.08E-2</v>
      </c>
      <c r="BU37" s="27">
        <v>5.9900000000000002E-2</v>
      </c>
      <c r="BV37" s="27">
        <v>6.25E-2</v>
      </c>
      <c r="BW37" s="27">
        <v>6.13E-2</v>
      </c>
      <c r="BX37" s="27">
        <v>5.9799999999999999E-2</v>
      </c>
      <c r="BY37" s="27">
        <v>6.0100000000000001E-2</v>
      </c>
      <c r="BZ37" s="27">
        <v>5.8299999999999998E-2</v>
      </c>
      <c r="CA37" s="27">
        <v>6.1899999999999997E-2</v>
      </c>
      <c r="CB37" s="27">
        <v>5.8999999999999997E-2</v>
      </c>
      <c r="CC37" s="27">
        <v>5.96E-2</v>
      </c>
      <c r="CD37" s="27">
        <v>6.0900000000000003E-2</v>
      </c>
      <c r="CE37" s="27">
        <v>6.13E-2</v>
      </c>
      <c r="CF37" s="27">
        <v>6.3500000000000001E-2</v>
      </c>
      <c r="CG37" s="27">
        <v>6.4000000000000001E-2</v>
      </c>
      <c r="CH37" s="27">
        <v>6.3600000000000004E-2</v>
      </c>
      <c r="CI37" s="27">
        <v>6.3600000000000004E-2</v>
      </c>
      <c r="CJ37" s="27">
        <v>6.5199999999999994E-2</v>
      </c>
      <c r="CK37" s="27">
        <v>6.5100000000000005E-2</v>
      </c>
      <c r="CL37" s="27">
        <v>6.4399999999999999E-2</v>
      </c>
      <c r="CM37" s="27">
        <v>6.2899999999999998E-2</v>
      </c>
      <c r="CN37" s="27">
        <v>6.3700000000000007E-2</v>
      </c>
      <c r="CO37" s="27">
        <v>6.4799999999999996E-2</v>
      </c>
      <c r="CP37" s="27">
        <v>6.4500000000000002E-2</v>
      </c>
      <c r="CQ37" s="27">
        <v>7.17E-2</v>
      </c>
      <c r="CR37" s="27">
        <v>7.3400000000000007E-2</v>
      </c>
      <c r="CS37" s="27">
        <v>7.1499999999999994E-2</v>
      </c>
      <c r="CT37" s="27">
        <v>7.0199999999999999E-2</v>
      </c>
      <c r="CU37" s="27">
        <v>7.2400000000000006E-2</v>
      </c>
      <c r="CV37" s="27">
        <v>7.3300000000000004E-2</v>
      </c>
      <c r="CW37" s="27">
        <v>6.5500000000000003E-2</v>
      </c>
      <c r="CX37" s="27">
        <v>6.5000000000000002E-2</v>
      </c>
      <c r="CY37" s="27">
        <v>5.7299999999999997E-2</v>
      </c>
      <c r="CZ37" s="27">
        <v>5.8200000000000002E-2</v>
      </c>
      <c r="DA37" s="27">
        <v>5.5100000000000003E-2</v>
      </c>
      <c r="DB37" s="27">
        <v>4.7100000000000003E-2</v>
      </c>
      <c r="DC37" s="27">
        <v>4.4999999999999998E-2</v>
      </c>
      <c r="DD37" s="27">
        <v>4.2099999999999999E-2</v>
      </c>
      <c r="DE37" s="27">
        <v>3.9199999999999999E-2</v>
      </c>
      <c r="DF37" s="27">
        <v>4.1300000000000003E-2</v>
      </c>
      <c r="DG37" s="27">
        <v>4.3200000000000002E-2</v>
      </c>
      <c r="DH37" s="27">
        <v>4.1000000000000002E-2</v>
      </c>
      <c r="DI37" s="27">
        <v>4.2299999999999997E-2</v>
      </c>
      <c r="DJ37" s="27">
        <v>4.2500000000000003E-2</v>
      </c>
      <c r="DK37" s="27">
        <v>4.24E-2</v>
      </c>
      <c r="DL37" s="27">
        <v>4.1700000000000001E-2</v>
      </c>
      <c r="DM37" s="27">
        <v>4.2999999999999997E-2</v>
      </c>
      <c r="DN37" s="27">
        <v>4.07E-2</v>
      </c>
      <c r="DO37" s="27">
        <v>4.2900000000000001E-2</v>
      </c>
      <c r="DP37" s="27">
        <v>4.3299999999999998E-2</v>
      </c>
      <c r="DQ37" s="27">
        <v>4.1399999999999999E-2</v>
      </c>
      <c r="DR37" s="27">
        <v>4.0300000000000002E-2</v>
      </c>
      <c r="DS37" s="27">
        <v>3.9300000000000002E-2</v>
      </c>
      <c r="DT37" s="27">
        <v>3.7499999999999999E-2</v>
      </c>
      <c r="DU37" s="27">
        <v>3.4500000000000003E-2</v>
      </c>
      <c r="DV37" s="27">
        <v>3.7400000000000003E-2</v>
      </c>
      <c r="DW37" s="27">
        <v>3.7999999999999999E-2</v>
      </c>
      <c r="DX37" s="27">
        <v>3.6600000000000001E-2</v>
      </c>
      <c r="DY37" s="27">
        <v>3.6200000000000003E-2</v>
      </c>
      <c r="DZ37" s="27">
        <v>3.5000000000000003E-2</v>
      </c>
      <c r="EA37" s="27">
        <v>3.0800000000000001E-2</v>
      </c>
      <c r="EB37" s="27">
        <v>3.3500000000000002E-2</v>
      </c>
      <c r="EC37" s="27">
        <v>3.39E-2</v>
      </c>
      <c r="ED37" s="27">
        <v>3.32E-2</v>
      </c>
      <c r="EE37" s="27">
        <v>3.5799999999999998E-2</v>
      </c>
      <c r="EF37" s="27">
        <v>3.5700000000000003E-2</v>
      </c>
      <c r="EG37" s="27">
        <v>3.3599999999999998E-2</v>
      </c>
      <c r="EH37" s="27">
        <v>3.3399999999999999E-2</v>
      </c>
      <c r="EI37" s="27">
        <v>3.3300000000000003E-2</v>
      </c>
      <c r="EJ37" s="27">
        <v>3.3000000000000002E-2</v>
      </c>
      <c r="EK37" s="27">
        <v>3.6900000000000002E-2</v>
      </c>
      <c r="EL37" s="27">
        <v>3.5299999999999998E-2</v>
      </c>
      <c r="EM37" s="27">
        <v>3.3500000000000002E-2</v>
      </c>
      <c r="EN37" s="27">
        <v>3.5299999999999998E-2</v>
      </c>
      <c r="EO37" s="27">
        <v>3.5299999999999998E-2</v>
      </c>
      <c r="EP37" s="27">
        <v>3.6999999999999998E-2</v>
      </c>
      <c r="EQ37" s="27">
        <v>3.4000000000000002E-2</v>
      </c>
      <c r="ER37" s="27">
        <v>3.5000000000000003E-2</v>
      </c>
      <c r="ES37" s="27">
        <v>3.44E-2</v>
      </c>
      <c r="ET37" s="27">
        <v>3.3700000000000001E-2</v>
      </c>
      <c r="EU37" s="27">
        <v>3.6799999999999999E-2</v>
      </c>
      <c r="EV37" s="27">
        <v>3.3799999999999997E-2</v>
      </c>
      <c r="EW37" s="27">
        <v>3.73E-2</v>
      </c>
      <c r="EX37" s="27">
        <v>4.0800000000000003E-2</v>
      </c>
      <c r="EY37" s="27">
        <v>3.4700000000000002E-2</v>
      </c>
      <c r="EZ37" s="27">
        <v>3.5200000000000002E-2</v>
      </c>
      <c r="FA37" s="27">
        <v>3.3399999999999999E-2</v>
      </c>
      <c r="FB37" s="27">
        <v>3.4099999999999998E-2</v>
      </c>
      <c r="FC37" s="27">
        <v>3.5000000000000003E-2</v>
      </c>
      <c r="FD37" s="27">
        <v>3.4700000000000002E-2</v>
      </c>
      <c r="FE37" s="27">
        <v>3.6999999999999998E-2</v>
      </c>
      <c r="FF37" s="27">
        <v>3.4599999999999999E-2</v>
      </c>
      <c r="FG37" s="27">
        <v>3.5000000000000003E-2</v>
      </c>
      <c r="FH37" s="27">
        <v>3.2800000000000003E-2</v>
      </c>
      <c r="FI37" s="27">
        <v>3.5499999999999997E-2</v>
      </c>
      <c r="FJ37" s="27">
        <v>3.4799999999999998E-2</v>
      </c>
      <c r="FK37" s="27">
        <v>3.2800000000000003E-2</v>
      </c>
      <c r="FL37" s="27">
        <v>3.6499999999999998E-2</v>
      </c>
      <c r="FM37" s="27">
        <v>3.4299999999999997E-2</v>
      </c>
      <c r="FN37" s="27">
        <v>3.6799999999999999E-2</v>
      </c>
      <c r="FO37" s="27">
        <v>3.5499999999999997E-2</v>
      </c>
      <c r="FP37" s="27">
        <v>3.5499999999999997E-2</v>
      </c>
      <c r="FQ37" s="27">
        <v>3.4500000000000003E-2</v>
      </c>
      <c r="FR37" s="27">
        <v>3.32E-2</v>
      </c>
      <c r="FS37" s="27">
        <v>3.56E-2</v>
      </c>
      <c r="FT37" s="27">
        <v>3.3799999999999997E-2</v>
      </c>
      <c r="FU37" s="27">
        <v>3.6499999999999998E-2</v>
      </c>
      <c r="FV37" s="27">
        <v>3.5799999999999998E-2</v>
      </c>
      <c r="FW37" s="27">
        <v>3.6600000000000001E-2</v>
      </c>
      <c r="FX37" s="27">
        <v>3.7100000000000001E-2</v>
      </c>
      <c r="FY37" s="27">
        <v>3.6499999999999998E-2</v>
      </c>
      <c r="FZ37" s="26">
        <v>3.3399999999999999E-2</v>
      </c>
      <c r="GA37" s="22">
        <v>3.44E-2</v>
      </c>
      <c r="GB37" s="22">
        <v>3.56E-2</v>
      </c>
      <c r="GC37" s="22">
        <v>3.4799999999999998E-2</v>
      </c>
      <c r="GD37" s="22">
        <v>3.3799999999999997E-2</v>
      </c>
      <c r="GE37" s="22">
        <v>3.6499999999999998E-2</v>
      </c>
      <c r="GF37" s="22">
        <v>3.3399999999999999E-2</v>
      </c>
      <c r="GG37" s="27">
        <v>3.1800000000000002E-2</v>
      </c>
      <c r="GH37" s="26">
        <v>2.4500000000000001E-2</v>
      </c>
      <c r="GI37" s="26">
        <v>2.2800000000000001E-2</v>
      </c>
      <c r="GJ37" s="22">
        <v>2.01E-2</v>
      </c>
      <c r="GK37" s="22">
        <v>2.1399999999999999E-2</v>
      </c>
      <c r="GL37" s="27">
        <v>2.0500000000000001E-2</v>
      </c>
      <c r="GM37" s="27">
        <v>2.0500000000000001E-2</v>
      </c>
      <c r="GN37" s="26">
        <v>2.3599999999999999E-2</v>
      </c>
      <c r="GO37" s="22">
        <v>2.1999999999999999E-2</v>
      </c>
      <c r="GP37" s="22">
        <v>1.9099999999999999E-2</v>
      </c>
      <c r="GQ37" s="22">
        <v>2.12E-2</v>
      </c>
      <c r="GR37" s="25">
        <v>2.3199999999999998E-2</v>
      </c>
      <c r="GS37" s="24">
        <v>2.3900000000000001E-2</v>
      </c>
      <c r="GT37" s="23">
        <v>2.52E-2</v>
      </c>
      <c r="GU37" s="22">
        <v>2.3599999999999999E-2</v>
      </c>
      <c r="GV37" s="25">
        <v>2.5499999999999998E-2</v>
      </c>
      <c r="GW37" s="24">
        <v>2.41E-2</v>
      </c>
      <c r="GX37" s="23">
        <v>2.5000000000000001E-2</v>
      </c>
      <c r="GY37" s="22">
        <v>2.3599999999999999E-2</v>
      </c>
      <c r="GZ37" s="22">
        <v>2.5399999999999999E-2</v>
      </c>
      <c r="HA37" s="25">
        <v>3.5900000000000001E-2</v>
      </c>
      <c r="HB37" s="25">
        <v>4.2299999999999997E-2</v>
      </c>
      <c r="HC37" s="25">
        <v>4.4499999999999998E-2</v>
      </c>
      <c r="HD37" s="25">
        <v>5.2499999999999998E-2</v>
      </c>
      <c r="HE37" s="25">
        <v>6.2300000000000001E-2</v>
      </c>
      <c r="HF37" s="25">
        <v>7.46E-2</v>
      </c>
      <c r="HG37" s="25">
        <v>8.1699999999999995E-2</v>
      </c>
      <c r="HH37" s="25">
        <v>8.9700000000000002E-2</v>
      </c>
      <c r="HI37" s="25">
        <v>9.2499999999999999E-2</v>
      </c>
      <c r="HJ37" s="25">
        <v>9.1899999999999996E-2</v>
      </c>
      <c r="HK37" s="25">
        <v>9.3200000000000005E-2</v>
      </c>
      <c r="HL37" s="23">
        <v>9.6000000000000002E-2</v>
      </c>
      <c r="HM37" s="23">
        <v>9.5399999999999999E-2</v>
      </c>
      <c r="HN37" s="23">
        <v>9.3899999999999997E-2</v>
      </c>
      <c r="HO37" s="23">
        <v>9.2399999999999996E-2</v>
      </c>
      <c r="HP37" s="23">
        <v>9.2200000000000004E-2</v>
      </c>
      <c r="HQ37" s="23">
        <v>9.2600000000000002E-2</v>
      </c>
      <c r="HR37" s="23">
        <v>9.0499999999999997E-2</v>
      </c>
      <c r="HS37" s="23">
        <v>9.0999999999999998E-2</v>
      </c>
      <c r="HT37" s="23">
        <v>9.0800000000000006E-2</v>
      </c>
      <c r="HU37" s="23">
        <v>8.9700000000000002E-2</v>
      </c>
      <c r="HV37" s="23">
        <v>8.9800000000000005E-2</v>
      </c>
      <c r="HW37" s="23">
        <v>8.2199999999999995E-2</v>
      </c>
      <c r="HX37" s="23">
        <v>7.7799999999999994E-2</v>
      </c>
      <c r="HY37" s="22">
        <v>7.9399999999999998E-2</v>
      </c>
      <c r="HZ37" s="25">
        <v>7.8200000000000006E-2</v>
      </c>
      <c r="IA37" s="23">
        <v>7.9600000000000004E-2</v>
      </c>
      <c r="IB37" s="23">
        <v>7.9000000000000001E-2</v>
      </c>
      <c r="IC37" s="22">
        <v>7.8899999999999998E-2</v>
      </c>
      <c r="ID37" s="22">
        <v>7.9799999999999996E-2</v>
      </c>
      <c r="IE37" s="25" t="s">
        <v>25</v>
      </c>
      <c r="IF37" s="24">
        <v>7.9299999999999995E-2</v>
      </c>
      <c r="IG37" s="24" t="s">
        <v>25</v>
      </c>
      <c r="IH37" s="24" t="s">
        <v>25</v>
      </c>
      <c r="II37" s="25" t="s">
        <v>25</v>
      </c>
      <c r="IJ37" s="25">
        <v>7.8E-2</v>
      </c>
      <c r="IK37" s="25">
        <v>7.7799999999999994E-2</v>
      </c>
      <c r="IL37" s="25">
        <v>7.6899999999999996E-2</v>
      </c>
      <c r="IM37" s="24" t="s">
        <v>25</v>
      </c>
      <c r="IN37" s="23">
        <v>7.6300000000000007E-2</v>
      </c>
      <c r="IO37" s="22">
        <v>7.7600000000000002E-2</v>
      </c>
      <c r="IP37" s="25">
        <v>7.3300000000000004E-2</v>
      </c>
      <c r="IQ37" s="25">
        <v>7.0300000000000001E-2</v>
      </c>
      <c r="IR37" s="24">
        <v>6.9800000000000001E-2</v>
      </c>
      <c r="IS37" s="24" t="s">
        <v>25</v>
      </c>
      <c r="IT37" s="24">
        <v>6.6199999999999995E-2</v>
      </c>
      <c r="IU37" s="24">
        <v>6.5199999999999994E-2</v>
      </c>
      <c r="IV37" s="25">
        <v>6.2300000000000001E-2</v>
      </c>
      <c r="IW37" s="25">
        <v>5.9499999999999997E-2</v>
      </c>
      <c r="IX37" s="25" t="s">
        <v>25</v>
      </c>
      <c r="IY37" s="23" t="s">
        <v>25</v>
      </c>
      <c r="IZ37" s="22" t="s">
        <v>25</v>
      </c>
      <c r="JA37" s="22" t="s">
        <v>25</v>
      </c>
      <c r="JB37" s="22" t="s">
        <v>25</v>
      </c>
      <c r="JC37" s="24" t="s">
        <v>25</v>
      </c>
      <c r="JD37" s="23" t="s">
        <v>25</v>
      </c>
      <c r="JE37" s="22" t="s">
        <v>25</v>
      </c>
    </row>
    <row r="38" spans="1:265" ht="12.75" customHeight="1">
      <c r="A38" s="60"/>
      <c r="B38" s="60"/>
      <c r="C38" s="60"/>
      <c r="D38" s="29" t="s">
        <v>28</v>
      </c>
      <c r="E38" s="20">
        <v>36</v>
      </c>
      <c r="F38" s="19" t="s">
        <v>42</v>
      </c>
      <c r="G38" s="18" t="s">
        <v>21</v>
      </c>
      <c r="H38" s="18" t="s">
        <v>21</v>
      </c>
      <c r="I38" s="18" t="s">
        <v>21</v>
      </c>
      <c r="J38" s="18" t="s">
        <v>21</v>
      </c>
      <c r="K38" s="18" t="s">
        <v>21</v>
      </c>
      <c r="L38" s="18" t="s">
        <v>21</v>
      </c>
      <c r="M38" s="18" t="s">
        <v>21</v>
      </c>
      <c r="N38" s="18" t="s">
        <v>21</v>
      </c>
      <c r="O38" s="18" t="s">
        <v>21</v>
      </c>
      <c r="P38" s="18" t="s">
        <v>21</v>
      </c>
      <c r="Q38" s="18" t="s">
        <v>21</v>
      </c>
      <c r="R38" s="18" t="s">
        <v>21</v>
      </c>
      <c r="S38" s="18" t="s">
        <v>21</v>
      </c>
      <c r="T38" s="18" t="s">
        <v>21</v>
      </c>
      <c r="U38" s="18" t="s">
        <v>21</v>
      </c>
      <c r="V38" s="18" t="s">
        <v>21</v>
      </c>
      <c r="W38" s="18" t="s">
        <v>21</v>
      </c>
      <c r="X38" s="18" t="s">
        <v>21</v>
      </c>
      <c r="Y38" s="18" t="s">
        <v>21</v>
      </c>
      <c r="Z38" s="18" t="s">
        <v>21</v>
      </c>
      <c r="AA38" s="18" t="s">
        <v>21</v>
      </c>
      <c r="AB38" s="18" t="s">
        <v>21</v>
      </c>
      <c r="AC38" s="18" t="s">
        <v>21</v>
      </c>
      <c r="AD38" s="18" t="s">
        <v>21</v>
      </c>
      <c r="AE38" s="18" t="s">
        <v>21</v>
      </c>
      <c r="AF38" s="18" t="s">
        <v>21</v>
      </c>
      <c r="AG38" s="18" t="s">
        <v>21</v>
      </c>
      <c r="AH38" s="18" t="s">
        <v>21</v>
      </c>
      <c r="AI38" s="18" t="s">
        <v>21</v>
      </c>
      <c r="AJ38" s="18" t="s">
        <v>21</v>
      </c>
      <c r="AK38" s="18" t="s">
        <v>21</v>
      </c>
      <c r="AL38" s="18" t="s">
        <v>21</v>
      </c>
      <c r="AM38" s="18" t="s">
        <v>21</v>
      </c>
      <c r="AN38" s="18" t="s">
        <v>21</v>
      </c>
      <c r="AO38" s="18" t="s">
        <v>21</v>
      </c>
      <c r="AP38" s="18" t="s">
        <v>21</v>
      </c>
      <c r="AQ38" s="18" t="s">
        <v>21</v>
      </c>
      <c r="AR38" s="18" t="s">
        <v>21</v>
      </c>
      <c r="AS38" s="18" t="s">
        <v>21</v>
      </c>
      <c r="AT38" s="18" t="s">
        <v>21</v>
      </c>
      <c r="AU38" s="18" t="s">
        <v>21</v>
      </c>
      <c r="AV38" s="18" t="s">
        <v>21</v>
      </c>
      <c r="AW38" s="18" t="s">
        <v>21</v>
      </c>
      <c r="AX38" s="18" t="s">
        <v>21</v>
      </c>
      <c r="AY38" s="18" t="s">
        <v>21</v>
      </c>
      <c r="AZ38" s="18" t="s">
        <v>21</v>
      </c>
      <c r="BA38" s="18" t="s">
        <v>21</v>
      </c>
      <c r="BB38" s="18" t="s">
        <v>21</v>
      </c>
      <c r="BC38" s="18" t="s">
        <v>21</v>
      </c>
      <c r="BD38" s="18" t="s">
        <v>21</v>
      </c>
      <c r="BE38" s="18" t="s">
        <v>21</v>
      </c>
      <c r="BF38" s="18" t="s">
        <v>21</v>
      </c>
      <c r="BG38" s="18" t="s">
        <v>21</v>
      </c>
      <c r="BH38" s="18" t="s">
        <v>21</v>
      </c>
      <c r="BI38" s="18" t="s">
        <v>21</v>
      </c>
      <c r="BJ38" s="18" t="s">
        <v>21</v>
      </c>
      <c r="BK38" s="18" t="s">
        <v>21</v>
      </c>
      <c r="BL38" s="18" t="s">
        <v>21</v>
      </c>
      <c r="BM38" s="18" t="s">
        <v>21</v>
      </c>
      <c r="BN38" s="18" t="s">
        <v>21</v>
      </c>
      <c r="BO38" s="18" t="s">
        <v>21</v>
      </c>
      <c r="BP38" s="18" t="s">
        <v>21</v>
      </c>
      <c r="BQ38" s="18" t="s">
        <v>21</v>
      </c>
      <c r="BR38" s="18" t="s">
        <v>21</v>
      </c>
      <c r="BS38" s="18" t="s">
        <v>21</v>
      </c>
      <c r="BT38" s="18">
        <v>6.8099999999999994E-2</v>
      </c>
      <c r="BU38" s="18">
        <v>6.1899999999999997E-2</v>
      </c>
      <c r="BV38" s="18">
        <v>6.7699999999999996E-2</v>
      </c>
      <c r="BW38" s="18">
        <v>6.0199999999999997E-2</v>
      </c>
      <c r="BX38" s="18">
        <v>6.3899999999999998E-2</v>
      </c>
      <c r="BY38" s="18">
        <v>6.3399999999999998E-2</v>
      </c>
      <c r="BZ38" s="18">
        <v>8.7300000000000003E-2</v>
      </c>
      <c r="CA38" s="18" t="s">
        <v>25</v>
      </c>
      <c r="CB38" s="18" t="s">
        <v>25</v>
      </c>
      <c r="CC38" s="18" t="s">
        <v>25</v>
      </c>
      <c r="CD38" s="18" t="s">
        <v>25</v>
      </c>
      <c r="CE38" s="18" t="s">
        <v>25</v>
      </c>
      <c r="CF38" s="18" t="s">
        <v>25</v>
      </c>
      <c r="CG38" s="18" t="s">
        <v>25</v>
      </c>
      <c r="CH38" s="18" t="s">
        <v>25</v>
      </c>
      <c r="CI38" s="18" t="s">
        <v>25</v>
      </c>
      <c r="CJ38" s="18" t="s">
        <v>25</v>
      </c>
      <c r="CK38" s="18" t="s">
        <v>25</v>
      </c>
      <c r="CL38" s="18" t="s">
        <v>25</v>
      </c>
      <c r="CM38" s="18" t="s">
        <v>25</v>
      </c>
      <c r="CN38" s="18" t="s">
        <v>25</v>
      </c>
      <c r="CO38" s="18" t="s">
        <v>25</v>
      </c>
      <c r="CP38" s="18" t="s">
        <v>25</v>
      </c>
      <c r="CQ38" s="18">
        <v>8.8599999999999998E-2</v>
      </c>
      <c r="CR38" s="18" t="s">
        <v>25</v>
      </c>
      <c r="CS38" s="18">
        <v>9.5399999999999999E-2</v>
      </c>
      <c r="CT38" s="18">
        <v>0.1114</v>
      </c>
      <c r="CU38" s="18" t="s">
        <v>25</v>
      </c>
      <c r="CV38" s="18">
        <v>0.1118</v>
      </c>
      <c r="CW38" s="18">
        <v>8.4199999999999997E-2</v>
      </c>
      <c r="CX38" s="18">
        <v>0.1048</v>
      </c>
      <c r="CY38" s="18" t="s">
        <v>25</v>
      </c>
      <c r="CZ38" s="18">
        <v>0.11360000000000001</v>
      </c>
      <c r="DA38" s="18" t="s">
        <v>25</v>
      </c>
      <c r="DB38" s="18" t="s">
        <v>25</v>
      </c>
      <c r="DC38" s="18" t="s">
        <v>25</v>
      </c>
      <c r="DD38" s="18">
        <v>4.8300000000000003E-2</v>
      </c>
      <c r="DE38" s="18" t="s">
        <v>25</v>
      </c>
      <c r="DF38" s="18" t="s">
        <v>25</v>
      </c>
      <c r="DG38" s="18">
        <v>7.5300000000000006E-2</v>
      </c>
      <c r="DH38" s="18" t="s">
        <v>25</v>
      </c>
      <c r="DI38" s="18">
        <v>6.0199999999999997E-2</v>
      </c>
      <c r="DJ38" s="18">
        <v>8.6999999999999994E-2</v>
      </c>
      <c r="DK38" s="18">
        <v>9.9900000000000003E-2</v>
      </c>
      <c r="DL38" s="18">
        <v>0.1196</v>
      </c>
      <c r="DM38" s="18" t="s">
        <v>25</v>
      </c>
      <c r="DN38" s="18">
        <v>8.2500000000000004E-2</v>
      </c>
      <c r="DO38" s="18" t="s">
        <v>25</v>
      </c>
      <c r="DP38" s="18">
        <v>0.1157</v>
      </c>
      <c r="DQ38" s="18" t="s">
        <v>25</v>
      </c>
      <c r="DR38" s="18" t="s">
        <v>25</v>
      </c>
      <c r="DS38" s="18">
        <v>6.6699999999999995E-2</v>
      </c>
      <c r="DT38" s="18">
        <v>7.2599999999999998E-2</v>
      </c>
      <c r="DU38" s="18">
        <v>5.8099999999999999E-2</v>
      </c>
      <c r="DV38" s="18">
        <v>4.2799999999999998E-2</v>
      </c>
      <c r="DW38" s="18" t="s">
        <v>25</v>
      </c>
      <c r="DX38" s="18" t="s">
        <v>25</v>
      </c>
      <c r="DY38" s="18" t="s">
        <v>25</v>
      </c>
      <c r="DZ38" s="18" t="s">
        <v>25</v>
      </c>
      <c r="EA38" s="18" t="s">
        <v>25</v>
      </c>
      <c r="EB38" s="18">
        <v>8.3199999999999996E-2</v>
      </c>
      <c r="EC38" s="18">
        <v>5.6899999999999999E-2</v>
      </c>
      <c r="ED38" s="18">
        <v>5.9499999999999997E-2</v>
      </c>
      <c r="EE38" s="18">
        <v>7.8700000000000006E-2</v>
      </c>
      <c r="EF38" s="18" t="s">
        <v>25</v>
      </c>
      <c r="EG38" s="18" t="s">
        <v>25</v>
      </c>
      <c r="EH38" s="18" t="s">
        <v>25</v>
      </c>
      <c r="EI38" s="18" t="s">
        <v>25</v>
      </c>
      <c r="EJ38" s="18" t="s">
        <v>25</v>
      </c>
      <c r="EK38" s="18" t="s">
        <v>25</v>
      </c>
      <c r="EL38" s="18" t="s">
        <v>25</v>
      </c>
      <c r="EM38" s="18" t="s">
        <v>25</v>
      </c>
      <c r="EN38" s="18" t="s">
        <v>25</v>
      </c>
      <c r="EO38" s="18">
        <v>3.09E-2</v>
      </c>
      <c r="EP38" s="18">
        <v>2.7699999999999999E-2</v>
      </c>
      <c r="EQ38" s="18">
        <v>2.75E-2</v>
      </c>
      <c r="ER38" s="18">
        <v>2.4500000000000001E-2</v>
      </c>
      <c r="ES38" s="18" t="s">
        <v>25</v>
      </c>
      <c r="ET38" s="18">
        <v>2.53E-2</v>
      </c>
      <c r="EU38" s="18" t="s">
        <v>25</v>
      </c>
      <c r="EV38" s="18">
        <v>2.92E-2</v>
      </c>
      <c r="EW38" s="18">
        <v>3.7400000000000003E-2</v>
      </c>
      <c r="EX38" s="18">
        <v>3.2000000000000001E-2</v>
      </c>
      <c r="EY38" s="18">
        <v>2.7099999999999999E-2</v>
      </c>
      <c r="EZ38" s="18">
        <v>3.1300000000000001E-2</v>
      </c>
      <c r="FA38" s="18">
        <v>3.0599999999999999E-2</v>
      </c>
      <c r="FB38" s="18" t="s">
        <v>25</v>
      </c>
      <c r="FC38" s="18">
        <v>3.8699999999999998E-2</v>
      </c>
      <c r="FD38" s="18">
        <v>4.2999999999999997E-2</v>
      </c>
      <c r="FE38" s="18">
        <v>3.5999999999999997E-2</v>
      </c>
      <c r="FF38" s="18">
        <v>4.2799999999999998E-2</v>
      </c>
      <c r="FG38" s="18">
        <v>3.5799999999999998E-2</v>
      </c>
      <c r="FH38" s="18">
        <v>3.4700000000000002E-2</v>
      </c>
      <c r="FI38" s="18" t="s">
        <v>25</v>
      </c>
      <c r="FJ38" s="18">
        <v>3.9600000000000003E-2</v>
      </c>
      <c r="FK38" s="18" t="s">
        <v>25</v>
      </c>
      <c r="FL38" s="18" t="s">
        <v>25</v>
      </c>
      <c r="FM38" s="18">
        <v>5.4699999999999999E-2</v>
      </c>
      <c r="FN38" s="18" t="s">
        <v>25</v>
      </c>
      <c r="FO38" s="18" t="s">
        <v>25</v>
      </c>
      <c r="FP38" s="18">
        <v>3.8800000000000001E-2</v>
      </c>
      <c r="FQ38" s="18">
        <v>5.21E-2</v>
      </c>
      <c r="FR38" s="18">
        <v>3.8699999999999998E-2</v>
      </c>
      <c r="FS38" s="18">
        <v>4.4600000000000001E-2</v>
      </c>
      <c r="FT38" s="18" t="s">
        <v>25</v>
      </c>
      <c r="FU38" s="18">
        <v>4.0500000000000001E-2</v>
      </c>
      <c r="FV38" s="18" t="s">
        <v>25</v>
      </c>
      <c r="FW38" s="18" t="s">
        <v>25</v>
      </c>
      <c r="FX38" s="18" t="s">
        <v>25</v>
      </c>
      <c r="FY38" s="18" t="s">
        <v>25</v>
      </c>
      <c r="FZ38" s="17" t="s">
        <v>25</v>
      </c>
      <c r="GA38" s="13">
        <v>4.9500000000000002E-2</v>
      </c>
      <c r="GB38" s="13" t="s">
        <v>25</v>
      </c>
      <c r="GC38" s="13" t="s">
        <v>25</v>
      </c>
      <c r="GD38" s="13" t="s">
        <v>25</v>
      </c>
      <c r="GE38" s="13" t="s">
        <v>25</v>
      </c>
      <c r="GF38" s="13" t="s">
        <v>25</v>
      </c>
      <c r="GG38" s="18" t="s">
        <v>25</v>
      </c>
      <c r="GH38" s="17" t="s">
        <v>25</v>
      </c>
      <c r="GI38" s="17">
        <v>2.53E-2</v>
      </c>
      <c r="GJ38" s="13" t="s">
        <v>25</v>
      </c>
      <c r="GK38" s="13" t="s">
        <v>25</v>
      </c>
      <c r="GL38" s="18" t="s">
        <v>25</v>
      </c>
      <c r="GM38" s="18" t="s">
        <v>25</v>
      </c>
      <c r="GN38" s="17">
        <v>1.72E-2</v>
      </c>
      <c r="GO38" s="13" t="s">
        <v>25</v>
      </c>
      <c r="GP38" s="13">
        <v>1.47E-2</v>
      </c>
      <c r="GQ38" s="13">
        <v>1.2699999999999999E-2</v>
      </c>
      <c r="GR38" s="16">
        <v>2.0400000000000001E-2</v>
      </c>
      <c r="GS38" s="15">
        <v>2.41E-2</v>
      </c>
      <c r="GT38" s="14" t="s">
        <v>25</v>
      </c>
      <c r="GU38" s="13" t="s">
        <v>25</v>
      </c>
      <c r="GV38" s="16">
        <v>2.75E-2</v>
      </c>
      <c r="GW38" s="15">
        <v>2.64E-2</v>
      </c>
      <c r="GX38" s="14" t="s">
        <v>25</v>
      </c>
      <c r="GY38" s="13">
        <v>2.9100000000000001E-2</v>
      </c>
      <c r="GZ38" s="13" t="s">
        <v>25</v>
      </c>
      <c r="HA38" s="16" t="s">
        <v>25</v>
      </c>
      <c r="HB38" s="16">
        <v>4.7699999999999999E-2</v>
      </c>
      <c r="HC38" s="16">
        <v>5.0099999999999999E-2</v>
      </c>
      <c r="HD38" s="16">
        <v>5.8200000000000002E-2</v>
      </c>
      <c r="HE38" s="16" t="s">
        <v>25</v>
      </c>
      <c r="HF38" s="16">
        <v>7.9399999999999998E-2</v>
      </c>
      <c r="HG38" s="16">
        <v>8.7400000000000005E-2</v>
      </c>
      <c r="HH38" s="16" t="s">
        <v>25</v>
      </c>
      <c r="HI38" s="16">
        <v>8.2299999999999998E-2</v>
      </c>
      <c r="HJ38" s="16" t="s">
        <v>25</v>
      </c>
      <c r="HK38" s="16" t="s">
        <v>25</v>
      </c>
      <c r="HL38" s="14" t="s">
        <v>25</v>
      </c>
      <c r="HM38" s="14" t="s">
        <v>25</v>
      </c>
      <c r="HN38" s="14">
        <v>9.06E-2</v>
      </c>
      <c r="HO38" s="14" t="s">
        <v>25</v>
      </c>
      <c r="HP38" s="14">
        <v>8.14E-2</v>
      </c>
      <c r="HQ38" s="14" t="s">
        <v>25</v>
      </c>
      <c r="HR38" s="14" t="s">
        <v>25</v>
      </c>
      <c r="HS38" s="14" t="s">
        <v>25</v>
      </c>
      <c r="HT38" s="14" t="s">
        <v>25</v>
      </c>
      <c r="HU38" s="14">
        <v>0.12139999999999999</v>
      </c>
      <c r="HV38" s="14" t="s">
        <v>25</v>
      </c>
      <c r="HW38" s="14">
        <v>9.4500000000000001E-2</v>
      </c>
      <c r="HX38" s="14">
        <v>9.69E-2</v>
      </c>
      <c r="HY38" s="13">
        <v>0.1099</v>
      </c>
      <c r="HZ38" s="16">
        <v>0.1051</v>
      </c>
      <c r="IA38" s="14">
        <v>0.1061</v>
      </c>
      <c r="IB38" s="14">
        <v>0.113</v>
      </c>
      <c r="IC38" s="13">
        <v>0.1111</v>
      </c>
      <c r="ID38" s="13">
        <v>0.11509999999999999</v>
      </c>
      <c r="IE38" s="16">
        <v>0.1076</v>
      </c>
      <c r="IF38" s="15">
        <v>0.1089</v>
      </c>
      <c r="IG38" s="15">
        <v>0.1086</v>
      </c>
      <c r="IH38" s="15">
        <v>0.1079</v>
      </c>
      <c r="II38" s="16">
        <v>0.1061</v>
      </c>
      <c r="IJ38" s="16">
        <v>0.10639999999999999</v>
      </c>
      <c r="IK38" s="16">
        <v>0.11360000000000001</v>
      </c>
      <c r="IL38" s="16">
        <v>0.1113</v>
      </c>
      <c r="IM38" s="15">
        <v>0.1124</v>
      </c>
      <c r="IN38" s="14">
        <v>0.109</v>
      </c>
      <c r="IO38" s="13">
        <v>0.11020000000000001</v>
      </c>
      <c r="IP38" s="16">
        <v>0.1048</v>
      </c>
      <c r="IQ38" s="16">
        <v>0.106</v>
      </c>
      <c r="IR38" s="15">
        <v>0.1028</v>
      </c>
      <c r="IS38" s="15">
        <v>0.10100000000000001</v>
      </c>
      <c r="IT38" s="15">
        <v>9.2600000000000002E-2</v>
      </c>
      <c r="IU38" s="15">
        <v>9.9500000000000005E-2</v>
      </c>
      <c r="IV38" s="16">
        <v>9.5500000000000002E-2</v>
      </c>
      <c r="IW38" s="16">
        <v>0.1003</v>
      </c>
      <c r="IX38" s="16">
        <v>9.8100000000000007E-2</v>
      </c>
      <c r="IY38" s="14" t="s">
        <v>25</v>
      </c>
      <c r="IZ38" s="13">
        <v>9.4700000000000006E-2</v>
      </c>
      <c r="JA38" s="13">
        <v>9.2700000000000005E-2</v>
      </c>
      <c r="JB38" s="13">
        <v>8.8999999999999996E-2</v>
      </c>
      <c r="JC38" s="15">
        <v>9.5399999999999999E-2</v>
      </c>
      <c r="JD38" s="14">
        <v>8.8400000000000006E-2</v>
      </c>
      <c r="JE38" s="13">
        <v>8.8400000000000006E-2</v>
      </c>
    </row>
    <row r="39" spans="1:265" ht="12.75" customHeight="1">
      <c r="A39" s="60"/>
      <c r="B39" s="60"/>
      <c r="C39" s="60"/>
      <c r="D39" s="21" t="s">
        <v>19</v>
      </c>
      <c r="E39" s="20">
        <v>37</v>
      </c>
      <c r="F39" s="19" t="s">
        <v>41</v>
      </c>
      <c r="G39" s="27" t="s">
        <v>21</v>
      </c>
      <c r="H39" s="27" t="s">
        <v>21</v>
      </c>
      <c r="I39" s="27" t="s">
        <v>21</v>
      </c>
      <c r="J39" s="27" t="s">
        <v>21</v>
      </c>
      <c r="K39" s="27" t="s">
        <v>21</v>
      </c>
      <c r="L39" s="27" t="s">
        <v>21</v>
      </c>
      <c r="M39" s="27" t="s">
        <v>21</v>
      </c>
      <c r="N39" s="27" t="s">
        <v>21</v>
      </c>
      <c r="O39" s="27" t="s">
        <v>21</v>
      </c>
      <c r="P39" s="27" t="s">
        <v>21</v>
      </c>
      <c r="Q39" s="27" t="s">
        <v>21</v>
      </c>
      <c r="R39" s="27" t="s">
        <v>21</v>
      </c>
      <c r="S39" s="27" t="s">
        <v>21</v>
      </c>
      <c r="T39" s="27" t="s">
        <v>21</v>
      </c>
      <c r="U39" s="27" t="s">
        <v>21</v>
      </c>
      <c r="V39" s="27" t="s">
        <v>21</v>
      </c>
      <c r="W39" s="27" t="s">
        <v>21</v>
      </c>
      <c r="X39" s="27" t="s">
        <v>21</v>
      </c>
      <c r="Y39" s="27" t="s">
        <v>21</v>
      </c>
      <c r="Z39" s="27" t="s">
        <v>21</v>
      </c>
      <c r="AA39" s="27" t="s">
        <v>21</v>
      </c>
      <c r="AB39" s="27" t="s">
        <v>21</v>
      </c>
      <c r="AC39" s="27" t="s">
        <v>21</v>
      </c>
      <c r="AD39" s="27" t="s">
        <v>21</v>
      </c>
      <c r="AE39" s="27" t="s">
        <v>21</v>
      </c>
      <c r="AF39" s="27" t="s">
        <v>21</v>
      </c>
      <c r="AG39" s="27" t="s">
        <v>21</v>
      </c>
      <c r="AH39" s="27" t="s">
        <v>21</v>
      </c>
      <c r="AI39" s="27" t="s">
        <v>21</v>
      </c>
      <c r="AJ39" s="27" t="s">
        <v>21</v>
      </c>
      <c r="AK39" s="27" t="s">
        <v>21</v>
      </c>
      <c r="AL39" s="27" t="s">
        <v>21</v>
      </c>
      <c r="AM39" s="27" t="s">
        <v>21</v>
      </c>
      <c r="AN39" s="27" t="s">
        <v>21</v>
      </c>
      <c r="AO39" s="27" t="s">
        <v>21</v>
      </c>
      <c r="AP39" s="27" t="s">
        <v>21</v>
      </c>
      <c r="AQ39" s="27" t="s">
        <v>21</v>
      </c>
      <c r="AR39" s="27" t="s">
        <v>21</v>
      </c>
      <c r="AS39" s="27" t="s">
        <v>21</v>
      </c>
      <c r="AT39" s="27" t="s">
        <v>21</v>
      </c>
      <c r="AU39" s="27" t="s">
        <v>21</v>
      </c>
      <c r="AV39" s="27" t="s">
        <v>21</v>
      </c>
      <c r="AW39" s="27" t="s">
        <v>21</v>
      </c>
      <c r="AX39" s="27" t="s">
        <v>21</v>
      </c>
      <c r="AY39" s="27" t="s">
        <v>21</v>
      </c>
      <c r="AZ39" s="27" t="s">
        <v>21</v>
      </c>
      <c r="BA39" s="27" t="s">
        <v>21</v>
      </c>
      <c r="BB39" s="27" t="s">
        <v>21</v>
      </c>
      <c r="BC39" s="27" t="s">
        <v>21</v>
      </c>
      <c r="BD39" s="27" t="s">
        <v>21</v>
      </c>
      <c r="BE39" s="27" t="s">
        <v>21</v>
      </c>
      <c r="BF39" s="27" t="s">
        <v>21</v>
      </c>
      <c r="BG39" s="27" t="s">
        <v>21</v>
      </c>
      <c r="BH39" s="27" t="s">
        <v>21</v>
      </c>
      <c r="BI39" s="27" t="s">
        <v>21</v>
      </c>
      <c r="BJ39" s="27" t="s">
        <v>21</v>
      </c>
      <c r="BK39" s="27" t="s">
        <v>21</v>
      </c>
      <c r="BL39" s="27" t="s">
        <v>21</v>
      </c>
      <c r="BM39" s="27" t="s">
        <v>21</v>
      </c>
      <c r="BN39" s="27" t="s">
        <v>21</v>
      </c>
      <c r="BO39" s="27" t="s">
        <v>21</v>
      </c>
      <c r="BP39" s="27" t="s">
        <v>21</v>
      </c>
      <c r="BQ39" s="27" t="s">
        <v>21</v>
      </c>
      <c r="BR39" s="27" t="s">
        <v>21</v>
      </c>
      <c r="BS39" s="27" t="s">
        <v>21</v>
      </c>
      <c r="BT39" s="27">
        <v>6.4799999999999996E-2</v>
      </c>
      <c r="BU39" s="27">
        <v>6.4399999999999999E-2</v>
      </c>
      <c r="BV39" s="27">
        <v>6.4399999999999999E-2</v>
      </c>
      <c r="BW39" s="27">
        <v>6.3299999999999995E-2</v>
      </c>
      <c r="BX39" s="27">
        <v>6.2100000000000002E-2</v>
      </c>
      <c r="BY39" s="27">
        <v>6.1800000000000001E-2</v>
      </c>
      <c r="BZ39" s="27">
        <v>6.1199999999999997E-2</v>
      </c>
      <c r="CA39" s="27">
        <v>6.2600000000000003E-2</v>
      </c>
      <c r="CB39" s="27">
        <v>6.4600000000000005E-2</v>
      </c>
      <c r="CC39" s="27">
        <v>6.2899999999999998E-2</v>
      </c>
      <c r="CD39" s="27">
        <v>6.2899999999999998E-2</v>
      </c>
      <c r="CE39" s="27">
        <v>6.4799999999999996E-2</v>
      </c>
      <c r="CF39" s="27">
        <v>6.5799999999999997E-2</v>
      </c>
      <c r="CG39" s="27">
        <v>6.6500000000000004E-2</v>
      </c>
      <c r="CH39" s="27">
        <v>6.7100000000000007E-2</v>
      </c>
      <c r="CI39" s="27">
        <v>6.6299999999999998E-2</v>
      </c>
      <c r="CJ39" s="27">
        <v>6.7000000000000004E-2</v>
      </c>
      <c r="CK39" s="27">
        <v>6.7100000000000007E-2</v>
      </c>
      <c r="CL39" s="27">
        <v>6.6900000000000001E-2</v>
      </c>
      <c r="CM39" s="27">
        <v>6.6699999999999995E-2</v>
      </c>
      <c r="CN39" s="27">
        <v>6.7299999999999999E-2</v>
      </c>
      <c r="CO39" s="27">
        <v>6.7299999999999999E-2</v>
      </c>
      <c r="CP39" s="27">
        <v>6.7500000000000004E-2</v>
      </c>
      <c r="CQ39" s="27">
        <v>6.9900000000000004E-2</v>
      </c>
      <c r="CR39" s="27">
        <v>6.8699999999999997E-2</v>
      </c>
      <c r="CS39" s="27">
        <v>6.93E-2</v>
      </c>
      <c r="CT39" s="27">
        <v>6.9699999999999998E-2</v>
      </c>
      <c r="CU39" s="27">
        <v>6.9099999999999995E-2</v>
      </c>
      <c r="CV39" s="27">
        <v>6.8000000000000005E-2</v>
      </c>
      <c r="CW39" s="27">
        <v>6.59E-2</v>
      </c>
      <c r="CX39" s="27">
        <v>6.3299999999999995E-2</v>
      </c>
      <c r="CY39" s="27">
        <v>5.9700000000000003E-2</v>
      </c>
      <c r="CZ39" s="27">
        <v>5.8299999999999998E-2</v>
      </c>
      <c r="DA39" s="27">
        <v>5.45E-2</v>
      </c>
      <c r="DB39" s="27">
        <v>5.2699999999999997E-2</v>
      </c>
      <c r="DC39" s="27">
        <v>5.0099999999999999E-2</v>
      </c>
      <c r="DD39" s="27">
        <v>4.65E-2</v>
      </c>
      <c r="DE39" s="27">
        <v>4.5199999999999997E-2</v>
      </c>
      <c r="DF39" s="27">
        <v>4.4499999999999998E-2</v>
      </c>
      <c r="DG39" s="27">
        <v>4.4499999999999998E-2</v>
      </c>
      <c r="DH39" s="27">
        <v>4.4200000000000003E-2</v>
      </c>
      <c r="DI39" s="27">
        <v>4.2599999999999999E-2</v>
      </c>
      <c r="DJ39" s="27">
        <v>4.3700000000000003E-2</v>
      </c>
      <c r="DK39" s="27">
        <v>4.3900000000000002E-2</v>
      </c>
      <c r="DL39" s="27">
        <v>4.3999999999999997E-2</v>
      </c>
      <c r="DM39" s="27">
        <v>4.4400000000000002E-2</v>
      </c>
      <c r="DN39" s="27">
        <v>4.41E-2</v>
      </c>
      <c r="DO39" s="27">
        <v>4.5400000000000003E-2</v>
      </c>
      <c r="DP39" s="27">
        <v>4.3900000000000002E-2</v>
      </c>
      <c r="DQ39" s="27">
        <v>4.3700000000000003E-2</v>
      </c>
      <c r="DR39" s="27">
        <v>4.3700000000000003E-2</v>
      </c>
      <c r="DS39" s="27">
        <v>4.2000000000000003E-2</v>
      </c>
      <c r="DT39" s="27">
        <v>3.9600000000000003E-2</v>
      </c>
      <c r="DU39" s="27">
        <v>3.6499999999999998E-2</v>
      </c>
      <c r="DV39" s="27">
        <v>3.6999999999999998E-2</v>
      </c>
      <c r="DW39" s="27">
        <v>3.8199999999999998E-2</v>
      </c>
      <c r="DX39" s="27">
        <v>3.6400000000000002E-2</v>
      </c>
      <c r="DY39" s="27">
        <v>3.5400000000000001E-2</v>
      </c>
      <c r="DZ39" s="27">
        <v>3.2899999999999999E-2</v>
      </c>
      <c r="EA39" s="27">
        <v>3.2399999999999998E-2</v>
      </c>
      <c r="EB39" s="27">
        <v>3.4200000000000001E-2</v>
      </c>
      <c r="EC39" s="27">
        <v>3.3700000000000001E-2</v>
      </c>
      <c r="ED39" s="27">
        <v>3.2399999999999998E-2</v>
      </c>
      <c r="EE39" s="27">
        <v>3.4299999999999997E-2</v>
      </c>
      <c r="EF39" s="27">
        <v>3.44E-2</v>
      </c>
      <c r="EG39" s="27">
        <v>3.3500000000000002E-2</v>
      </c>
      <c r="EH39" s="27">
        <v>3.1600000000000003E-2</v>
      </c>
      <c r="EI39" s="27">
        <v>3.0800000000000001E-2</v>
      </c>
      <c r="EJ39" s="27">
        <v>3.1699999999999999E-2</v>
      </c>
      <c r="EK39" s="27">
        <v>3.1600000000000003E-2</v>
      </c>
      <c r="EL39" s="27">
        <v>3.2199999999999999E-2</v>
      </c>
      <c r="EM39" s="27">
        <v>3.1600000000000003E-2</v>
      </c>
      <c r="EN39" s="27">
        <v>3.1600000000000003E-2</v>
      </c>
      <c r="EO39" s="27">
        <v>3.3799999999999997E-2</v>
      </c>
      <c r="EP39" s="27">
        <v>3.4200000000000001E-2</v>
      </c>
      <c r="EQ39" s="27">
        <v>3.3700000000000001E-2</v>
      </c>
      <c r="ER39" s="27">
        <v>3.49E-2</v>
      </c>
      <c r="ES39" s="27">
        <v>3.3599999999999998E-2</v>
      </c>
      <c r="ET39" s="27">
        <v>3.2899999999999999E-2</v>
      </c>
      <c r="EU39" s="27">
        <v>3.39E-2</v>
      </c>
      <c r="EV39" s="27">
        <v>3.3300000000000003E-2</v>
      </c>
      <c r="EW39" s="27">
        <v>3.4000000000000002E-2</v>
      </c>
      <c r="EX39" s="27">
        <v>3.4000000000000002E-2</v>
      </c>
      <c r="EY39" s="27">
        <v>3.3399999999999999E-2</v>
      </c>
      <c r="EZ39" s="27">
        <v>3.3700000000000001E-2</v>
      </c>
      <c r="FA39" s="27">
        <v>3.4000000000000002E-2</v>
      </c>
      <c r="FB39" s="27">
        <v>3.32E-2</v>
      </c>
      <c r="FC39" s="27">
        <v>3.3099999999999997E-2</v>
      </c>
      <c r="FD39" s="27">
        <v>3.3500000000000002E-2</v>
      </c>
      <c r="FE39" s="27">
        <v>3.3399999999999999E-2</v>
      </c>
      <c r="FF39" s="27">
        <v>3.2099999999999997E-2</v>
      </c>
      <c r="FG39" s="27">
        <v>3.2399999999999998E-2</v>
      </c>
      <c r="FH39" s="27">
        <v>3.2399999999999998E-2</v>
      </c>
      <c r="FI39" s="27">
        <v>3.1600000000000003E-2</v>
      </c>
      <c r="FJ39" s="27">
        <v>3.2500000000000001E-2</v>
      </c>
      <c r="FK39" s="27">
        <v>3.2199999999999999E-2</v>
      </c>
      <c r="FL39" s="27">
        <v>3.1199999999999999E-2</v>
      </c>
      <c r="FM39" s="27">
        <v>3.2399999999999998E-2</v>
      </c>
      <c r="FN39" s="27">
        <v>3.2399999999999998E-2</v>
      </c>
      <c r="FO39" s="27">
        <v>3.2199999999999999E-2</v>
      </c>
      <c r="FP39" s="27">
        <v>3.2599999999999997E-2</v>
      </c>
      <c r="FQ39" s="27">
        <v>3.2000000000000001E-2</v>
      </c>
      <c r="FR39" s="27">
        <v>3.1600000000000003E-2</v>
      </c>
      <c r="FS39" s="27">
        <v>3.1600000000000003E-2</v>
      </c>
      <c r="FT39" s="27">
        <v>3.2800000000000003E-2</v>
      </c>
      <c r="FU39" s="27">
        <v>3.2300000000000002E-2</v>
      </c>
      <c r="FV39" s="27">
        <v>3.2399999999999998E-2</v>
      </c>
      <c r="FW39" s="27">
        <v>3.32E-2</v>
      </c>
      <c r="FX39" s="27">
        <v>3.2399999999999998E-2</v>
      </c>
      <c r="FY39" s="27">
        <v>3.3000000000000002E-2</v>
      </c>
      <c r="FZ39" s="26">
        <v>3.2599999999999997E-2</v>
      </c>
      <c r="GA39" s="22">
        <v>3.1699999999999999E-2</v>
      </c>
      <c r="GB39" s="22">
        <v>3.2300000000000002E-2</v>
      </c>
      <c r="GC39" s="22">
        <v>3.1399999999999997E-2</v>
      </c>
      <c r="GD39" s="22">
        <v>3.0700000000000002E-2</v>
      </c>
      <c r="GE39" s="22">
        <v>3.1899999999999998E-2</v>
      </c>
      <c r="GF39" s="22">
        <v>3.15E-2</v>
      </c>
      <c r="GG39" s="27">
        <v>2.9399999999999999E-2</v>
      </c>
      <c r="GH39" s="26">
        <v>2.3E-2</v>
      </c>
      <c r="GI39" s="26">
        <v>2.0400000000000001E-2</v>
      </c>
      <c r="GJ39" s="22">
        <v>1.7000000000000001E-2</v>
      </c>
      <c r="GK39" s="22">
        <v>1.7899999999999999E-2</v>
      </c>
      <c r="GL39" s="27">
        <v>1.72E-2</v>
      </c>
      <c r="GM39" s="27">
        <v>1.72E-2</v>
      </c>
      <c r="GN39" s="26">
        <v>1.78E-2</v>
      </c>
      <c r="GO39" s="22">
        <v>1.7299999999999999E-2</v>
      </c>
      <c r="GP39" s="22">
        <v>1.6799999999999999E-2</v>
      </c>
      <c r="GQ39" s="22">
        <v>1.6500000000000001E-2</v>
      </c>
      <c r="GR39" s="25">
        <v>1.67E-2</v>
      </c>
      <c r="GS39" s="24">
        <v>1.7100000000000001E-2</v>
      </c>
      <c r="GT39" s="23">
        <v>1.77E-2</v>
      </c>
      <c r="GU39" s="22">
        <v>1.78E-2</v>
      </c>
      <c r="GV39" s="25">
        <v>1.77E-2</v>
      </c>
      <c r="GW39" s="24">
        <v>1.8700000000000001E-2</v>
      </c>
      <c r="GX39" s="23">
        <v>1.84E-2</v>
      </c>
      <c r="GY39" s="22">
        <v>1.78E-2</v>
      </c>
      <c r="GZ39" s="22">
        <v>2.1499999999999998E-2</v>
      </c>
      <c r="HA39" s="25">
        <v>2.8400000000000002E-2</v>
      </c>
      <c r="HB39" s="25">
        <v>3.49E-2</v>
      </c>
      <c r="HC39" s="25">
        <v>4.0300000000000002E-2</v>
      </c>
      <c r="HD39" s="25">
        <v>4.4699999999999997E-2</v>
      </c>
      <c r="HE39" s="25">
        <v>5.4899999999999997E-2</v>
      </c>
      <c r="HF39" s="25">
        <v>6.4399999999999999E-2</v>
      </c>
      <c r="HG39" s="25">
        <v>7.3099999999999998E-2</v>
      </c>
      <c r="HH39" s="25">
        <v>7.8700000000000006E-2</v>
      </c>
      <c r="HI39" s="25">
        <v>8.3900000000000002E-2</v>
      </c>
      <c r="HJ39" s="25">
        <v>8.4099999999999994E-2</v>
      </c>
      <c r="HK39" s="25">
        <v>8.5199999999999998E-2</v>
      </c>
      <c r="HL39" s="23">
        <v>8.5699999999999998E-2</v>
      </c>
      <c r="HM39" s="23">
        <v>8.5400000000000004E-2</v>
      </c>
      <c r="HN39" s="23">
        <v>8.4099999999999994E-2</v>
      </c>
      <c r="HO39" s="23">
        <v>8.3099999999999993E-2</v>
      </c>
      <c r="HP39" s="23">
        <v>8.2199999999999995E-2</v>
      </c>
      <c r="HQ39" s="23">
        <v>8.2199999999999995E-2</v>
      </c>
      <c r="HR39" s="23">
        <v>8.2299999999999998E-2</v>
      </c>
      <c r="HS39" s="23">
        <v>8.2799999999999999E-2</v>
      </c>
      <c r="HT39" s="23">
        <v>8.4500000000000006E-2</v>
      </c>
      <c r="HU39" s="23">
        <v>8.3400000000000002E-2</v>
      </c>
      <c r="HV39" s="23">
        <v>8.2400000000000001E-2</v>
      </c>
      <c r="HW39" s="23">
        <v>7.6799999999999993E-2</v>
      </c>
      <c r="HX39" s="23">
        <v>7.2599999999999998E-2</v>
      </c>
      <c r="HY39" s="22">
        <v>7.1400000000000005E-2</v>
      </c>
      <c r="HZ39" s="25">
        <v>7.2700000000000001E-2</v>
      </c>
      <c r="IA39" s="23">
        <v>7.1900000000000006E-2</v>
      </c>
      <c r="IB39" s="23">
        <v>7.1099999999999997E-2</v>
      </c>
      <c r="IC39" s="22">
        <v>7.1199999999999999E-2</v>
      </c>
      <c r="ID39" s="22">
        <v>7.1599999999999997E-2</v>
      </c>
      <c r="IE39" s="25">
        <v>7.1900000000000006E-2</v>
      </c>
      <c r="IF39" s="24">
        <v>7.2300000000000003E-2</v>
      </c>
      <c r="IG39" s="24">
        <v>7.3599999999999999E-2</v>
      </c>
      <c r="IH39" s="24">
        <v>7.2900000000000006E-2</v>
      </c>
      <c r="II39" s="25">
        <v>7.2499999999999995E-2</v>
      </c>
      <c r="IJ39" s="25">
        <v>7.1800000000000003E-2</v>
      </c>
      <c r="IK39" s="25">
        <v>7.1900000000000006E-2</v>
      </c>
      <c r="IL39" s="25">
        <v>7.1800000000000003E-2</v>
      </c>
      <c r="IM39" s="24">
        <v>7.17E-2</v>
      </c>
      <c r="IN39" s="23">
        <v>7.17E-2</v>
      </c>
      <c r="IO39" s="22">
        <v>7.1999999999999995E-2</v>
      </c>
      <c r="IP39" s="25">
        <v>6.9900000000000004E-2</v>
      </c>
      <c r="IQ39" s="25">
        <v>6.7599999999999993E-2</v>
      </c>
      <c r="IR39" s="24">
        <v>6.6500000000000004E-2</v>
      </c>
      <c r="IS39" s="24">
        <v>6.6500000000000004E-2</v>
      </c>
      <c r="IT39" s="24">
        <v>6.4699999999999994E-2</v>
      </c>
      <c r="IU39" s="24">
        <v>6.2100000000000002E-2</v>
      </c>
      <c r="IV39" s="25">
        <v>6.1100000000000002E-2</v>
      </c>
      <c r="IW39" s="25">
        <v>5.74E-2</v>
      </c>
      <c r="IX39" s="25">
        <v>5.5599999999999997E-2</v>
      </c>
      <c r="IY39" s="23">
        <v>5.2900000000000003E-2</v>
      </c>
      <c r="IZ39" s="22">
        <v>5.33E-2</v>
      </c>
      <c r="JA39" s="22">
        <v>6.0499999999999998E-2</v>
      </c>
      <c r="JB39" s="22">
        <v>5.9799999999999999E-2</v>
      </c>
      <c r="JC39" s="24">
        <v>6.0900000000000003E-2</v>
      </c>
      <c r="JD39" s="23">
        <v>6.0299999999999999E-2</v>
      </c>
      <c r="JE39" s="22">
        <v>5.8000000000000003E-2</v>
      </c>
    </row>
    <row r="40" spans="1:265" ht="22.5" customHeight="1">
      <c r="A40" s="60"/>
      <c r="B40" s="60"/>
      <c r="C40" s="60"/>
      <c r="D40" s="28" t="s">
        <v>23</v>
      </c>
      <c r="E40" s="20">
        <v>38</v>
      </c>
      <c r="F40" s="19" t="s">
        <v>40</v>
      </c>
      <c r="G40" s="18" t="s">
        <v>21</v>
      </c>
      <c r="H40" s="18" t="s">
        <v>21</v>
      </c>
      <c r="I40" s="18" t="s">
        <v>21</v>
      </c>
      <c r="J40" s="18" t="s">
        <v>21</v>
      </c>
      <c r="K40" s="18" t="s">
        <v>21</v>
      </c>
      <c r="L40" s="18" t="s">
        <v>21</v>
      </c>
      <c r="M40" s="18" t="s">
        <v>21</v>
      </c>
      <c r="N40" s="18" t="s">
        <v>21</v>
      </c>
      <c r="O40" s="18" t="s">
        <v>21</v>
      </c>
      <c r="P40" s="18" t="s">
        <v>21</v>
      </c>
      <c r="Q40" s="18" t="s">
        <v>21</v>
      </c>
      <c r="R40" s="18" t="s">
        <v>21</v>
      </c>
      <c r="S40" s="18" t="s">
        <v>21</v>
      </c>
      <c r="T40" s="18" t="s">
        <v>21</v>
      </c>
      <c r="U40" s="18" t="s">
        <v>21</v>
      </c>
      <c r="V40" s="18" t="s">
        <v>21</v>
      </c>
      <c r="W40" s="18" t="s">
        <v>21</v>
      </c>
      <c r="X40" s="18" t="s">
        <v>21</v>
      </c>
      <c r="Y40" s="18" t="s">
        <v>21</v>
      </c>
      <c r="Z40" s="18" t="s">
        <v>21</v>
      </c>
      <c r="AA40" s="18" t="s">
        <v>21</v>
      </c>
      <c r="AB40" s="18" t="s">
        <v>21</v>
      </c>
      <c r="AC40" s="18" t="s">
        <v>21</v>
      </c>
      <c r="AD40" s="18" t="s">
        <v>21</v>
      </c>
      <c r="AE40" s="18" t="s">
        <v>21</v>
      </c>
      <c r="AF40" s="18" t="s">
        <v>21</v>
      </c>
      <c r="AG40" s="18" t="s">
        <v>21</v>
      </c>
      <c r="AH40" s="18" t="s">
        <v>21</v>
      </c>
      <c r="AI40" s="18" t="s">
        <v>21</v>
      </c>
      <c r="AJ40" s="18" t="s">
        <v>21</v>
      </c>
      <c r="AK40" s="18" t="s">
        <v>21</v>
      </c>
      <c r="AL40" s="18" t="s">
        <v>21</v>
      </c>
      <c r="AM40" s="18" t="s">
        <v>21</v>
      </c>
      <c r="AN40" s="18" t="s">
        <v>21</v>
      </c>
      <c r="AO40" s="18" t="s">
        <v>21</v>
      </c>
      <c r="AP40" s="18" t="s">
        <v>21</v>
      </c>
      <c r="AQ40" s="18" t="s">
        <v>21</v>
      </c>
      <c r="AR40" s="18" t="s">
        <v>21</v>
      </c>
      <c r="AS40" s="18" t="s">
        <v>21</v>
      </c>
      <c r="AT40" s="18" t="s">
        <v>21</v>
      </c>
      <c r="AU40" s="18" t="s">
        <v>21</v>
      </c>
      <c r="AV40" s="18" t="s">
        <v>21</v>
      </c>
      <c r="AW40" s="18" t="s">
        <v>21</v>
      </c>
      <c r="AX40" s="18" t="s">
        <v>21</v>
      </c>
      <c r="AY40" s="18" t="s">
        <v>21</v>
      </c>
      <c r="AZ40" s="18" t="s">
        <v>21</v>
      </c>
      <c r="BA40" s="18" t="s">
        <v>21</v>
      </c>
      <c r="BB40" s="18" t="s">
        <v>21</v>
      </c>
      <c r="BC40" s="18" t="s">
        <v>21</v>
      </c>
      <c r="BD40" s="18" t="s">
        <v>21</v>
      </c>
      <c r="BE40" s="18" t="s">
        <v>21</v>
      </c>
      <c r="BF40" s="18" t="s">
        <v>21</v>
      </c>
      <c r="BG40" s="18" t="s">
        <v>21</v>
      </c>
      <c r="BH40" s="18" t="s">
        <v>21</v>
      </c>
      <c r="BI40" s="18" t="s">
        <v>21</v>
      </c>
      <c r="BJ40" s="18" t="s">
        <v>21</v>
      </c>
      <c r="BK40" s="18" t="s">
        <v>21</v>
      </c>
      <c r="BL40" s="18" t="s">
        <v>21</v>
      </c>
      <c r="BM40" s="18" t="s">
        <v>21</v>
      </c>
      <c r="BN40" s="18" t="s">
        <v>21</v>
      </c>
      <c r="BO40" s="18" t="s">
        <v>21</v>
      </c>
      <c r="BP40" s="18" t="s">
        <v>21</v>
      </c>
      <c r="BQ40" s="18" t="s">
        <v>21</v>
      </c>
      <c r="BR40" s="18" t="s">
        <v>21</v>
      </c>
      <c r="BS40" s="18" t="s">
        <v>21</v>
      </c>
      <c r="BT40" s="18">
        <v>6.7599999999999993E-2</v>
      </c>
      <c r="BU40" s="18">
        <v>6.7299999999999999E-2</v>
      </c>
      <c r="BV40" s="18">
        <v>6.4500000000000002E-2</v>
      </c>
      <c r="BW40" s="18">
        <v>6.4600000000000005E-2</v>
      </c>
      <c r="BX40" s="18">
        <v>6.3200000000000006E-2</v>
      </c>
      <c r="BY40" s="18">
        <v>6.4199999999999993E-2</v>
      </c>
      <c r="BZ40" s="18">
        <v>6.5500000000000003E-2</v>
      </c>
      <c r="CA40" s="18">
        <v>6.4699999999999994E-2</v>
      </c>
      <c r="CB40" s="18">
        <v>6.7900000000000002E-2</v>
      </c>
      <c r="CC40" s="18">
        <v>6.8400000000000002E-2</v>
      </c>
      <c r="CD40" s="18">
        <v>6.8099999999999994E-2</v>
      </c>
      <c r="CE40" s="18">
        <v>6.9900000000000004E-2</v>
      </c>
      <c r="CF40" s="18">
        <v>6.7799999999999999E-2</v>
      </c>
      <c r="CG40" s="18">
        <v>6.9199999999999998E-2</v>
      </c>
      <c r="CH40" s="18">
        <v>6.9900000000000004E-2</v>
      </c>
      <c r="CI40" s="18">
        <v>6.9199999999999998E-2</v>
      </c>
      <c r="CJ40" s="18">
        <v>7.1300000000000002E-2</v>
      </c>
      <c r="CK40" s="18">
        <v>7.0099999999999996E-2</v>
      </c>
      <c r="CL40" s="18">
        <v>7.0699999999999999E-2</v>
      </c>
      <c r="CM40" s="18">
        <v>6.9900000000000004E-2</v>
      </c>
      <c r="CN40" s="18">
        <v>7.0000000000000007E-2</v>
      </c>
      <c r="CO40" s="18">
        <v>7.0699999999999999E-2</v>
      </c>
      <c r="CP40" s="18">
        <v>7.22E-2</v>
      </c>
      <c r="CQ40" s="18">
        <v>7.3899999999999993E-2</v>
      </c>
      <c r="CR40" s="18">
        <v>6.8199999999999997E-2</v>
      </c>
      <c r="CS40" s="18">
        <v>7.3800000000000004E-2</v>
      </c>
      <c r="CT40" s="18">
        <v>7.5700000000000003E-2</v>
      </c>
      <c r="CU40" s="18">
        <v>7.4700000000000003E-2</v>
      </c>
      <c r="CV40" s="18">
        <v>7.1499999999999994E-2</v>
      </c>
      <c r="CW40" s="18">
        <v>7.3099999999999998E-2</v>
      </c>
      <c r="CX40" s="18">
        <v>7.1499999999999994E-2</v>
      </c>
      <c r="CY40" s="18">
        <v>6.8199999999999997E-2</v>
      </c>
      <c r="CZ40" s="18">
        <v>6.4500000000000002E-2</v>
      </c>
      <c r="DA40" s="18">
        <v>6.4100000000000004E-2</v>
      </c>
      <c r="DB40" s="18">
        <v>6.0400000000000002E-2</v>
      </c>
      <c r="DC40" s="18">
        <v>5.8099999999999999E-2</v>
      </c>
      <c r="DD40" s="18">
        <v>5.0700000000000002E-2</v>
      </c>
      <c r="DE40" s="18">
        <v>5.3199999999999997E-2</v>
      </c>
      <c r="DF40" s="18">
        <v>5.16E-2</v>
      </c>
      <c r="DG40" s="18">
        <v>4.9200000000000001E-2</v>
      </c>
      <c r="DH40" s="18">
        <v>4.9399999999999999E-2</v>
      </c>
      <c r="DI40" s="18">
        <v>4.2000000000000003E-2</v>
      </c>
      <c r="DJ40" s="18">
        <v>5.2200000000000003E-2</v>
      </c>
      <c r="DK40" s="18">
        <v>5.04E-2</v>
      </c>
      <c r="DL40" s="18">
        <v>4.7300000000000002E-2</v>
      </c>
      <c r="DM40" s="18">
        <v>4.99E-2</v>
      </c>
      <c r="DN40" s="18">
        <v>4.82E-2</v>
      </c>
      <c r="DO40" s="18">
        <v>4.99E-2</v>
      </c>
      <c r="DP40" s="18">
        <v>4.6699999999999998E-2</v>
      </c>
      <c r="DQ40" s="18">
        <v>4.65E-2</v>
      </c>
      <c r="DR40" s="18">
        <v>4.8500000000000001E-2</v>
      </c>
      <c r="DS40" s="18">
        <v>4.5199999999999997E-2</v>
      </c>
      <c r="DT40" s="18">
        <v>4.3299999999999998E-2</v>
      </c>
      <c r="DU40" s="18">
        <v>3.8100000000000002E-2</v>
      </c>
      <c r="DV40" s="18">
        <v>4.1799999999999997E-2</v>
      </c>
      <c r="DW40" s="18">
        <v>4.3499999999999997E-2</v>
      </c>
      <c r="DX40" s="18">
        <v>4.0399999999999998E-2</v>
      </c>
      <c r="DY40" s="18">
        <v>4.3499999999999997E-2</v>
      </c>
      <c r="DZ40" s="18">
        <v>3.6200000000000003E-2</v>
      </c>
      <c r="EA40" s="18">
        <v>3.4700000000000002E-2</v>
      </c>
      <c r="EB40" s="18">
        <v>3.8399999999999997E-2</v>
      </c>
      <c r="EC40" s="18">
        <v>3.6499999999999998E-2</v>
      </c>
      <c r="ED40" s="18">
        <v>3.4099999999999998E-2</v>
      </c>
      <c r="EE40" s="18">
        <v>3.8699999999999998E-2</v>
      </c>
      <c r="EF40" s="18">
        <v>3.85E-2</v>
      </c>
      <c r="EG40" s="18">
        <v>3.8199999999999998E-2</v>
      </c>
      <c r="EH40" s="18">
        <v>3.3300000000000003E-2</v>
      </c>
      <c r="EI40" s="18">
        <v>3.2899999999999999E-2</v>
      </c>
      <c r="EJ40" s="18">
        <v>3.4000000000000002E-2</v>
      </c>
      <c r="EK40" s="18">
        <v>3.4299999999999997E-2</v>
      </c>
      <c r="EL40" s="18">
        <v>3.61E-2</v>
      </c>
      <c r="EM40" s="18">
        <v>3.5700000000000003E-2</v>
      </c>
      <c r="EN40" s="18">
        <v>3.4599999999999999E-2</v>
      </c>
      <c r="EO40" s="18">
        <v>3.8600000000000002E-2</v>
      </c>
      <c r="EP40" s="18">
        <v>3.7900000000000003E-2</v>
      </c>
      <c r="EQ40" s="18">
        <v>3.8100000000000002E-2</v>
      </c>
      <c r="ER40" s="18">
        <v>3.95E-2</v>
      </c>
      <c r="ES40" s="18">
        <v>3.9E-2</v>
      </c>
      <c r="ET40" s="18">
        <v>3.9100000000000003E-2</v>
      </c>
      <c r="EU40" s="18">
        <v>3.95E-2</v>
      </c>
      <c r="EV40" s="18">
        <v>3.6499999999999998E-2</v>
      </c>
      <c r="EW40" s="18">
        <v>3.7699999999999997E-2</v>
      </c>
      <c r="EX40" s="18">
        <v>3.8399999999999997E-2</v>
      </c>
      <c r="EY40" s="18">
        <v>3.6900000000000002E-2</v>
      </c>
      <c r="EZ40" s="18">
        <v>3.8199999999999998E-2</v>
      </c>
      <c r="FA40" s="18">
        <v>3.8899999999999997E-2</v>
      </c>
      <c r="FB40" s="18">
        <v>3.73E-2</v>
      </c>
      <c r="FC40" s="18">
        <v>3.56E-2</v>
      </c>
      <c r="FD40" s="18">
        <v>3.8899999999999997E-2</v>
      </c>
      <c r="FE40" s="18">
        <v>3.8100000000000002E-2</v>
      </c>
      <c r="FF40" s="18">
        <v>3.4599999999999999E-2</v>
      </c>
      <c r="FG40" s="18">
        <v>3.6600000000000001E-2</v>
      </c>
      <c r="FH40" s="18">
        <v>3.6299999999999999E-2</v>
      </c>
      <c r="FI40" s="18">
        <v>3.3000000000000002E-2</v>
      </c>
      <c r="FJ40" s="18">
        <v>3.5400000000000001E-2</v>
      </c>
      <c r="FK40" s="18">
        <v>3.4599999999999999E-2</v>
      </c>
      <c r="FL40" s="18">
        <v>3.2599999999999997E-2</v>
      </c>
      <c r="FM40" s="18">
        <v>3.5499999999999997E-2</v>
      </c>
      <c r="FN40" s="18">
        <v>3.5700000000000003E-2</v>
      </c>
      <c r="FO40" s="18">
        <v>3.3599999999999998E-2</v>
      </c>
      <c r="FP40" s="18">
        <v>3.61E-2</v>
      </c>
      <c r="FQ40" s="18">
        <v>3.4099999999999998E-2</v>
      </c>
      <c r="FR40" s="18">
        <v>3.4700000000000002E-2</v>
      </c>
      <c r="FS40" s="18">
        <v>3.4299999999999997E-2</v>
      </c>
      <c r="FT40" s="18">
        <v>3.61E-2</v>
      </c>
      <c r="FU40" s="18">
        <v>3.5700000000000003E-2</v>
      </c>
      <c r="FV40" s="18">
        <v>3.6700000000000003E-2</v>
      </c>
      <c r="FW40" s="18">
        <v>3.5999999999999997E-2</v>
      </c>
      <c r="FX40" s="18">
        <v>3.5200000000000002E-2</v>
      </c>
      <c r="FY40" s="18">
        <v>3.56E-2</v>
      </c>
      <c r="FZ40" s="17">
        <v>3.3700000000000001E-2</v>
      </c>
      <c r="GA40" s="13">
        <v>3.3000000000000002E-2</v>
      </c>
      <c r="GB40" s="13">
        <v>3.4599999999999999E-2</v>
      </c>
      <c r="GC40" s="13">
        <v>3.32E-2</v>
      </c>
      <c r="GD40" s="13">
        <v>3.27E-2</v>
      </c>
      <c r="GE40" s="13">
        <v>3.3599999999999998E-2</v>
      </c>
      <c r="GF40" s="13">
        <v>3.2800000000000003E-2</v>
      </c>
      <c r="GG40" s="18">
        <v>3.2099999999999997E-2</v>
      </c>
      <c r="GH40" s="17">
        <v>2.64E-2</v>
      </c>
      <c r="GI40" s="17">
        <v>2.12E-2</v>
      </c>
      <c r="GJ40" s="13">
        <v>1.9300000000000001E-2</v>
      </c>
      <c r="GK40" s="13">
        <v>2.06E-2</v>
      </c>
      <c r="GL40" s="18">
        <v>0.02</v>
      </c>
      <c r="GM40" s="18">
        <v>2.1499999999999998E-2</v>
      </c>
      <c r="GN40" s="17">
        <v>2.07E-2</v>
      </c>
      <c r="GO40" s="13">
        <v>2.0199999999999999E-2</v>
      </c>
      <c r="GP40" s="13">
        <v>2.0799999999999999E-2</v>
      </c>
      <c r="GQ40" s="13">
        <v>1.8499999999999999E-2</v>
      </c>
      <c r="GR40" s="16">
        <v>1.7999999999999999E-2</v>
      </c>
      <c r="GS40" s="15">
        <v>1.9599999999999999E-2</v>
      </c>
      <c r="GT40" s="14">
        <v>1.9800000000000002E-2</v>
      </c>
      <c r="GU40" s="13">
        <v>1.9400000000000001E-2</v>
      </c>
      <c r="GV40" s="16">
        <v>2.0299999999999999E-2</v>
      </c>
      <c r="GW40" s="15">
        <v>2.0400000000000001E-2</v>
      </c>
      <c r="GX40" s="14">
        <v>2.2200000000000001E-2</v>
      </c>
      <c r="GY40" s="13">
        <v>2.1299999999999999E-2</v>
      </c>
      <c r="GZ40" s="13">
        <v>2.5499999999999998E-2</v>
      </c>
      <c r="HA40" s="16">
        <v>3.1199999999999999E-2</v>
      </c>
      <c r="HB40" s="16">
        <v>4.0399999999999998E-2</v>
      </c>
      <c r="HC40" s="16">
        <v>4.3799999999999999E-2</v>
      </c>
      <c r="HD40" s="16">
        <v>4.6100000000000002E-2</v>
      </c>
      <c r="HE40" s="16">
        <v>5.7500000000000002E-2</v>
      </c>
      <c r="HF40" s="16">
        <v>6.6199999999999995E-2</v>
      </c>
      <c r="HG40" s="16">
        <v>7.7700000000000005E-2</v>
      </c>
      <c r="HH40" s="16">
        <v>8.2500000000000004E-2</v>
      </c>
      <c r="HI40" s="16">
        <v>8.6699999999999999E-2</v>
      </c>
      <c r="HJ40" s="16">
        <v>8.6599999999999996E-2</v>
      </c>
      <c r="HK40" s="16">
        <v>8.8900000000000007E-2</v>
      </c>
      <c r="HL40" s="14">
        <v>8.8300000000000003E-2</v>
      </c>
      <c r="HM40" s="14">
        <v>8.7900000000000006E-2</v>
      </c>
      <c r="HN40" s="14">
        <v>8.6599999999999996E-2</v>
      </c>
      <c r="HO40" s="14">
        <v>8.6099999999999996E-2</v>
      </c>
      <c r="HP40" s="14">
        <v>8.5099999999999995E-2</v>
      </c>
      <c r="HQ40" s="14">
        <v>8.48E-2</v>
      </c>
      <c r="HR40" s="14">
        <v>8.4500000000000006E-2</v>
      </c>
      <c r="HS40" s="14">
        <v>8.5999999999999993E-2</v>
      </c>
      <c r="HT40" s="14">
        <v>8.7300000000000003E-2</v>
      </c>
      <c r="HU40" s="14">
        <v>8.6400000000000005E-2</v>
      </c>
      <c r="HV40" s="14">
        <v>8.5800000000000001E-2</v>
      </c>
      <c r="HW40" s="14">
        <v>7.9799999999999996E-2</v>
      </c>
      <c r="HX40" s="14">
        <v>7.4999999999999997E-2</v>
      </c>
      <c r="HY40" s="13">
        <v>7.4099999999999999E-2</v>
      </c>
      <c r="HZ40" s="16">
        <v>7.6399999999999996E-2</v>
      </c>
      <c r="IA40" s="14">
        <v>7.4200000000000002E-2</v>
      </c>
      <c r="IB40" s="14">
        <v>7.2499999999999995E-2</v>
      </c>
      <c r="IC40" s="13">
        <v>7.2900000000000006E-2</v>
      </c>
      <c r="ID40" s="13">
        <v>7.2999999999999995E-2</v>
      </c>
      <c r="IE40" s="16">
        <v>7.3800000000000004E-2</v>
      </c>
      <c r="IF40" s="15">
        <v>7.3499999999999996E-2</v>
      </c>
      <c r="IG40" s="15">
        <v>7.5499999999999998E-2</v>
      </c>
      <c r="IH40" s="15">
        <v>7.5999999999999998E-2</v>
      </c>
      <c r="II40" s="16">
        <v>7.4800000000000005E-2</v>
      </c>
      <c r="IJ40" s="16">
        <v>7.3499999999999996E-2</v>
      </c>
      <c r="IK40" s="16">
        <v>7.4800000000000005E-2</v>
      </c>
      <c r="IL40" s="16">
        <v>7.6200000000000004E-2</v>
      </c>
      <c r="IM40" s="15">
        <v>7.4300000000000005E-2</v>
      </c>
      <c r="IN40" s="14">
        <v>7.3800000000000004E-2</v>
      </c>
      <c r="IO40" s="13">
        <v>7.4399999999999994E-2</v>
      </c>
      <c r="IP40" s="16">
        <v>7.1800000000000003E-2</v>
      </c>
      <c r="IQ40" s="16" t="s">
        <v>25</v>
      </c>
      <c r="IR40" s="15" t="s">
        <v>25</v>
      </c>
      <c r="IS40" s="15" t="s">
        <v>25</v>
      </c>
      <c r="IT40" s="15">
        <v>6.9800000000000001E-2</v>
      </c>
      <c r="IU40" s="15">
        <v>6.7100000000000007E-2</v>
      </c>
      <c r="IV40" s="16">
        <v>6.6500000000000004E-2</v>
      </c>
      <c r="IW40" s="16">
        <v>6.25E-2</v>
      </c>
      <c r="IX40" s="16">
        <v>6.4299999999999996E-2</v>
      </c>
      <c r="IY40" s="14" t="s">
        <v>25</v>
      </c>
      <c r="IZ40" s="13" t="s">
        <v>25</v>
      </c>
      <c r="JA40" s="13">
        <v>6.5600000000000006E-2</v>
      </c>
      <c r="JB40" s="13">
        <v>6.4600000000000005E-2</v>
      </c>
      <c r="JC40" s="15">
        <v>6.4199999999999993E-2</v>
      </c>
      <c r="JD40" s="14">
        <v>6.4899999999999999E-2</v>
      </c>
      <c r="JE40" s="13">
        <v>6.0699999999999997E-2</v>
      </c>
    </row>
    <row r="41" spans="1:265" ht="12.75" customHeight="1">
      <c r="A41" s="60"/>
      <c r="B41" s="60"/>
      <c r="C41" s="59" t="s">
        <v>39</v>
      </c>
      <c r="D41" s="29" t="s">
        <v>32</v>
      </c>
      <c r="E41" s="20">
        <v>39</v>
      </c>
      <c r="F41" s="19" t="s">
        <v>38</v>
      </c>
      <c r="G41" s="27" t="s">
        <v>21</v>
      </c>
      <c r="H41" s="27" t="s">
        <v>21</v>
      </c>
      <c r="I41" s="27" t="s">
        <v>21</v>
      </c>
      <c r="J41" s="27" t="s">
        <v>21</v>
      </c>
      <c r="K41" s="27" t="s">
        <v>21</v>
      </c>
      <c r="L41" s="27" t="s">
        <v>21</v>
      </c>
      <c r="M41" s="27" t="s">
        <v>21</v>
      </c>
      <c r="N41" s="27" t="s">
        <v>21</v>
      </c>
      <c r="O41" s="27" t="s">
        <v>21</v>
      </c>
      <c r="P41" s="27" t="s">
        <v>21</v>
      </c>
      <c r="Q41" s="27" t="s">
        <v>21</v>
      </c>
      <c r="R41" s="27" t="s">
        <v>21</v>
      </c>
      <c r="S41" s="27" t="s">
        <v>21</v>
      </c>
      <c r="T41" s="27" t="s">
        <v>21</v>
      </c>
      <c r="U41" s="27" t="s">
        <v>21</v>
      </c>
      <c r="V41" s="27" t="s">
        <v>21</v>
      </c>
      <c r="W41" s="27" t="s">
        <v>21</v>
      </c>
      <c r="X41" s="27" t="s">
        <v>21</v>
      </c>
      <c r="Y41" s="27" t="s">
        <v>21</v>
      </c>
      <c r="Z41" s="27" t="s">
        <v>21</v>
      </c>
      <c r="AA41" s="27" t="s">
        <v>21</v>
      </c>
      <c r="AB41" s="27" t="s">
        <v>21</v>
      </c>
      <c r="AC41" s="27" t="s">
        <v>21</v>
      </c>
      <c r="AD41" s="27" t="s">
        <v>21</v>
      </c>
      <c r="AE41" s="27" t="s">
        <v>21</v>
      </c>
      <c r="AF41" s="27" t="s">
        <v>21</v>
      </c>
      <c r="AG41" s="27" t="s">
        <v>21</v>
      </c>
      <c r="AH41" s="27" t="s">
        <v>21</v>
      </c>
      <c r="AI41" s="27" t="s">
        <v>21</v>
      </c>
      <c r="AJ41" s="27" t="s">
        <v>21</v>
      </c>
      <c r="AK41" s="27" t="s">
        <v>21</v>
      </c>
      <c r="AL41" s="27" t="s">
        <v>21</v>
      </c>
      <c r="AM41" s="27" t="s">
        <v>21</v>
      </c>
      <c r="AN41" s="27" t="s">
        <v>21</v>
      </c>
      <c r="AO41" s="27" t="s">
        <v>21</v>
      </c>
      <c r="AP41" s="27" t="s">
        <v>21</v>
      </c>
      <c r="AQ41" s="27" t="s">
        <v>21</v>
      </c>
      <c r="AR41" s="27" t="s">
        <v>21</v>
      </c>
      <c r="AS41" s="27" t="s">
        <v>21</v>
      </c>
      <c r="AT41" s="27" t="s">
        <v>21</v>
      </c>
      <c r="AU41" s="27" t="s">
        <v>21</v>
      </c>
      <c r="AV41" s="27" t="s">
        <v>21</v>
      </c>
      <c r="AW41" s="27" t="s">
        <v>21</v>
      </c>
      <c r="AX41" s="27" t="s">
        <v>21</v>
      </c>
      <c r="AY41" s="27" t="s">
        <v>21</v>
      </c>
      <c r="AZ41" s="27" t="s">
        <v>21</v>
      </c>
      <c r="BA41" s="27" t="s">
        <v>21</v>
      </c>
      <c r="BB41" s="27" t="s">
        <v>21</v>
      </c>
      <c r="BC41" s="27" t="s">
        <v>21</v>
      </c>
      <c r="BD41" s="27" t="s">
        <v>21</v>
      </c>
      <c r="BE41" s="27" t="s">
        <v>21</v>
      </c>
      <c r="BF41" s="27" t="s">
        <v>21</v>
      </c>
      <c r="BG41" s="27" t="s">
        <v>21</v>
      </c>
      <c r="BH41" s="27" t="s">
        <v>21</v>
      </c>
      <c r="BI41" s="27" t="s">
        <v>21</v>
      </c>
      <c r="BJ41" s="27" t="s">
        <v>21</v>
      </c>
      <c r="BK41" s="27" t="s">
        <v>21</v>
      </c>
      <c r="BL41" s="27" t="s">
        <v>21</v>
      </c>
      <c r="BM41" s="27" t="s">
        <v>21</v>
      </c>
      <c r="BN41" s="27" t="s">
        <v>21</v>
      </c>
      <c r="BO41" s="27" t="s">
        <v>21</v>
      </c>
      <c r="BP41" s="27" t="s">
        <v>21</v>
      </c>
      <c r="BQ41" s="27" t="s">
        <v>21</v>
      </c>
      <c r="BR41" s="27" t="s">
        <v>21</v>
      </c>
      <c r="BS41" s="27" t="s">
        <v>21</v>
      </c>
      <c r="BT41" s="27">
        <v>6.4299999999999996E-2</v>
      </c>
      <c r="BU41" s="27">
        <v>6.6299999999999998E-2</v>
      </c>
      <c r="BV41" s="27">
        <v>6.7900000000000002E-2</v>
      </c>
      <c r="BW41" s="27">
        <v>6.6699999999999995E-2</v>
      </c>
      <c r="BX41" s="27">
        <v>6.2600000000000003E-2</v>
      </c>
      <c r="BY41" s="27">
        <v>6.1400000000000003E-2</v>
      </c>
      <c r="BZ41" s="27">
        <v>5.9900000000000002E-2</v>
      </c>
      <c r="CA41" s="27">
        <v>6.6000000000000003E-2</v>
      </c>
      <c r="CB41" s="27">
        <v>6.4000000000000001E-2</v>
      </c>
      <c r="CC41" s="27">
        <v>6.0999999999999999E-2</v>
      </c>
      <c r="CD41" s="27">
        <v>6.3299999999999995E-2</v>
      </c>
      <c r="CE41" s="27">
        <v>6.5699999999999995E-2</v>
      </c>
      <c r="CF41" s="27">
        <v>6.6699999999999995E-2</v>
      </c>
      <c r="CG41" s="27">
        <v>6.6799999999999998E-2</v>
      </c>
      <c r="CH41" s="27">
        <v>6.6199999999999995E-2</v>
      </c>
      <c r="CI41" s="27">
        <v>6.7199999999999996E-2</v>
      </c>
      <c r="CJ41" s="27">
        <v>6.4600000000000005E-2</v>
      </c>
      <c r="CK41" s="27">
        <v>6.7100000000000007E-2</v>
      </c>
      <c r="CL41" s="27">
        <v>6.6900000000000001E-2</v>
      </c>
      <c r="CM41" s="27">
        <v>6.88E-2</v>
      </c>
      <c r="CN41" s="27">
        <v>6.6400000000000001E-2</v>
      </c>
      <c r="CO41" s="27">
        <v>6.8099999999999994E-2</v>
      </c>
      <c r="CP41" s="27">
        <v>6.5299999999999997E-2</v>
      </c>
      <c r="CQ41" s="27">
        <v>6.93E-2</v>
      </c>
      <c r="CR41" s="27">
        <v>6.6799999999999998E-2</v>
      </c>
      <c r="CS41" s="27">
        <v>6.8500000000000005E-2</v>
      </c>
      <c r="CT41" s="27">
        <v>7.0300000000000001E-2</v>
      </c>
      <c r="CU41" s="27">
        <v>6.7799999999999999E-2</v>
      </c>
      <c r="CV41" s="27">
        <v>7.1999999999999995E-2</v>
      </c>
      <c r="CW41" s="27">
        <v>7.0699999999999999E-2</v>
      </c>
      <c r="CX41" s="27">
        <v>6.25E-2</v>
      </c>
      <c r="CY41" s="27">
        <v>5.7099999999999998E-2</v>
      </c>
      <c r="CZ41" s="27">
        <v>5.5100000000000003E-2</v>
      </c>
      <c r="DA41" s="27">
        <v>5.2499999999999998E-2</v>
      </c>
      <c r="DB41" s="27">
        <v>5.1999999999999998E-2</v>
      </c>
      <c r="DC41" s="27">
        <v>5.0200000000000002E-2</v>
      </c>
      <c r="DD41" s="27">
        <v>4.7800000000000002E-2</v>
      </c>
      <c r="DE41" s="27">
        <v>4.6800000000000001E-2</v>
      </c>
      <c r="DF41" s="27">
        <v>4.5999999999999999E-2</v>
      </c>
      <c r="DG41" s="27">
        <v>4.5900000000000003E-2</v>
      </c>
      <c r="DH41" s="27">
        <v>4.4200000000000003E-2</v>
      </c>
      <c r="DI41" s="27">
        <v>4.3400000000000001E-2</v>
      </c>
      <c r="DJ41" s="27">
        <v>4.3400000000000001E-2</v>
      </c>
      <c r="DK41" s="27">
        <v>4.1500000000000002E-2</v>
      </c>
      <c r="DL41" s="27">
        <v>4.3400000000000001E-2</v>
      </c>
      <c r="DM41" s="27">
        <v>4.5400000000000003E-2</v>
      </c>
      <c r="DN41" s="27">
        <v>4.6899999999999997E-2</v>
      </c>
      <c r="DO41" s="27">
        <v>4.4299999999999999E-2</v>
      </c>
      <c r="DP41" s="27">
        <v>4.4999999999999998E-2</v>
      </c>
      <c r="DQ41" s="27">
        <v>4.5199999999999997E-2</v>
      </c>
      <c r="DR41" s="27">
        <v>4.7E-2</v>
      </c>
      <c r="DS41" s="27">
        <v>4.3299999999999998E-2</v>
      </c>
      <c r="DT41" s="27">
        <v>4.4400000000000002E-2</v>
      </c>
      <c r="DU41" s="27">
        <v>3.7199999999999997E-2</v>
      </c>
      <c r="DV41" s="27">
        <v>3.9E-2</v>
      </c>
      <c r="DW41" s="27">
        <v>3.8199999999999998E-2</v>
      </c>
      <c r="DX41" s="27">
        <v>3.9100000000000003E-2</v>
      </c>
      <c r="DY41" s="27">
        <v>3.4099999999999998E-2</v>
      </c>
      <c r="DZ41" s="27">
        <v>3.6600000000000001E-2</v>
      </c>
      <c r="EA41" s="27">
        <v>3.3599999999999998E-2</v>
      </c>
      <c r="EB41" s="27">
        <v>3.5200000000000002E-2</v>
      </c>
      <c r="EC41" s="27">
        <v>3.9E-2</v>
      </c>
      <c r="ED41" s="27">
        <v>3.6700000000000003E-2</v>
      </c>
      <c r="EE41" s="27">
        <v>3.3599999999999998E-2</v>
      </c>
      <c r="EF41" s="27">
        <v>3.61E-2</v>
      </c>
      <c r="EG41" s="27">
        <v>3.6400000000000002E-2</v>
      </c>
      <c r="EH41" s="27">
        <v>3.6799999999999999E-2</v>
      </c>
      <c r="EI41" s="27">
        <v>3.3500000000000002E-2</v>
      </c>
      <c r="EJ41" s="27">
        <v>3.2199999999999999E-2</v>
      </c>
      <c r="EK41" s="27">
        <v>3.1099999999999999E-2</v>
      </c>
      <c r="EL41" s="27">
        <v>3.2800000000000003E-2</v>
      </c>
      <c r="EM41" s="27">
        <v>3.2500000000000001E-2</v>
      </c>
      <c r="EN41" s="27">
        <v>3.5499999999999997E-2</v>
      </c>
      <c r="EO41" s="27">
        <v>3.7999999999999999E-2</v>
      </c>
      <c r="EP41" s="27">
        <v>3.5499999999999997E-2</v>
      </c>
      <c r="EQ41" s="27">
        <v>3.8199999999999998E-2</v>
      </c>
      <c r="ER41" s="27">
        <v>4.02E-2</v>
      </c>
      <c r="ES41" s="27">
        <v>3.7699999999999997E-2</v>
      </c>
      <c r="ET41" s="27">
        <v>3.85E-2</v>
      </c>
      <c r="EU41" s="27">
        <v>3.44E-2</v>
      </c>
      <c r="EV41" s="27">
        <v>3.5200000000000002E-2</v>
      </c>
      <c r="EW41" s="27">
        <v>3.5200000000000002E-2</v>
      </c>
      <c r="EX41" s="27">
        <v>3.5900000000000001E-2</v>
      </c>
      <c r="EY41" s="27">
        <v>3.5799999999999998E-2</v>
      </c>
      <c r="EZ41" s="27">
        <v>3.9399999999999998E-2</v>
      </c>
      <c r="FA41" s="27">
        <v>4.19E-2</v>
      </c>
      <c r="FB41" s="27">
        <v>3.8699999999999998E-2</v>
      </c>
      <c r="FC41" s="27">
        <v>4.02E-2</v>
      </c>
      <c r="FD41" s="27">
        <v>3.9800000000000002E-2</v>
      </c>
      <c r="FE41" s="27">
        <v>3.6999999999999998E-2</v>
      </c>
      <c r="FF41" s="27">
        <v>3.8199999999999998E-2</v>
      </c>
      <c r="FG41" s="27">
        <v>3.5400000000000001E-2</v>
      </c>
      <c r="FH41" s="27">
        <v>3.85E-2</v>
      </c>
      <c r="FI41" s="27">
        <v>3.8899999999999997E-2</v>
      </c>
      <c r="FJ41" s="27">
        <v>3.5299999999999998E-2</v>
      </c>
      <c r="FK41" s="27">
        <v>3.5700000000000003E-2</v>
      </c>
      <c r="FL41" s="27">
        <v>3.49E-2</v>
      </c>
      <c r="FM41" s="27">
        <v>3.7699999999999997E-2</v>
      </c>
      <c r="FN41" s="27">
        <v>3.9600000000000003E-2</v>
      </c>
      <c r="FO41" s="27">
        <v>3.7999999999999999E-2</v>
      </c>
      <c r="FP41" s="27">
        <v>3.7600000000000001E-2</v>
      </c>
      <c r="FQ41" s="27">
        <v>3.7600000000000001E-2</v>
      </c>
      <c r="FR41" s="27">
        <v>3.9399999999999998E-2</v>
      </c>
      <c r="FS41" s="27">
        <v>3.2300000000000002E-2</v>
      </c>
      <c r="FT41" s="27">
        <v>3.6600000000000001E-2</v>
      </c>
      <c r="FU41" s="27">
        <v>4.1500000000000002E-2</v>
      </c>
      <c r="FV41" s="27">
        <v>3.6400000000000002E-2</v>
      </c>
      <c r="FW41" s="27">
        <v>3.9E-2</v>
      </c>
      <c r="FX41" s="27">
        <v>3.78E-2</v>
      </c>
      <c r="FY41" s="27">
        <v>4.0599999999999997E-2</v>
      </c>
      <c r="FZ41" s="26">
        <v>3.7600000000000001E-2</v>
      </c>
      <c r="GA41" s="22">
        <v>3.9699999999999999E-2</v>
      </c>
      <c r="GB41" s="22">
        <v>3.9100000000000003E-2</v>
      </c>
      <c r="GC41" s="22">
        <v>4.19E-2</v>
      </c>
      <c r="GD41" s="22">
        <v>3.9E-2</v>
      </c>
      <c r="GE41" s="22">
        <v>4.1500000000000002E-2</v>
      </c>
      <c r="GF41" s="22">
        <v>4.0300000000000002E-2</v>
      </c>
      <c r="GG41" s="27">
        <v>3.6900000000000002E-2</v>
      </c>
      <c r="GH41" s="26">
        <v>3.39E-2</v>
      </c>
      <c r="GI41" s="26">
        <v>3.0099999999999998E-2</v>
      </c>
      <c r="GJ41" s="22">
        <v>2.3699999999999999E-2</v>
      </c>
      <c r="GK41" s="22">
        <v>2.4199999999999999E-2</v>
      </c>
      <c r="GL41" s="27">
        <v>2.3699999999999999E-2</v>
      </c>
      <c r="GM41" s="27">
        <v>2.35E-2</v>
      </c>
      <c r="GN41" s="26">
        <v>2.47E-2</v>
      </c>
      <c r="GO41" s="22">
        <v>2.3E-2</v>
      </c>
      <c r="GP41" s="22">
        <v>2.2700000000000001E-2</v>
      </c>
      <c r="GQ41" s="22">
        <v>2.2499999999999999E-2</v>
      </c>
      <c r="GR41" s="25">
        <v>2.29E-2</v>
      </c>
      <c r="GS41" s="24">
        <v>2.46E-2</v>
      </c>
      <c r="GT41" s="23">
        <v>2.1499999999999998E-2</v>
      </c>
      <c r="GU41" s="22">
        <v>2.29E-2</v>
      </c>
      <c r="GV41" s="25">
        <v>2.4899999999999999E-2</v>
      </c>
      <c r="GW41" s="24">
        <v>2.2800000000000001E-2</v>
      </c>
      <c r="GX41" s="23">
        <v>2.2800000000000001E-2</v>
      </c>
      <c r="GY41" s="22">
        <v>2.12E-2</v>
      </c>
      <c r="GZ41" s="22">
        <v>2.5100000000000001E-2</v>
      </c>
      <c r="HA41" s="25">
        <v>3.0599999999999999E-2</v>
      </c>
      <c r="HB41" s="25">
        <v>4.3999999999999997E-2</v>
      </c>
      <c r="HC41" s="25">
        <v>4.4499999999999998E-2</v>
      </c>
      <c r="HD41" s="25">
        <v>5.1900000000000002E-2</v>
      </c>
      <c r="HE41" s="25">
        <v>6.08E-2</v>
      </c>
      <c r="HF41" s="25">
        <v>6.6699999999999995E-2</v>
      </c>
      <c r="HG41" s="25">
        <v>7.5899999999999995E-2</v>
      </c>
      <c r="HH41" s="25">
        <v>8.2600000000000007E-2</v>
      </c>
      <c r="HI41" s="25">
        <v>8.7599999999999997E-2</v>
      </c>
      <c r="HJ41" s="25">
        <v>8.7900000000000006E-2</v>
      </c>
      <c r="HK41" s="25">
        <v>8.8599999999999998E-2</v>
      </c>
      <c r="HL41" s="23">
        <v>8.8900000000000007E-2</v>
      </c>
      <c r="HM41" s="23">
        <v>8.9599999999999999E-2</v>
      </c>
      <c r="HN41" s="23">
        <v>9.1399999999999995E-2</v>
      </c>
      <c r="HO41" s="23">
        <v>8.6999999999999994E-2</v>
      </c>
      <c r="HP41" s="23">
        <v>8.8400000000000006E-2</v>
      </c>
      <c r="HQ41" s="23">
        <v>8.6699999999999999E-2</v>
      </c>
      <c r="HR41" s="23">
        <v>8.8499999999999995E-2</v>
      </c>
      <c r="HS41" s="23">
        <v>8.8999999999999996E-2</v>
      </c>
      <c r="HT41" s="23">
        <v>8.8200000000000001E-2</v>
      </c>
      <c r="HU41" s="23">
        <v>9.0899999999999995E-2</v>
      </c>
      <c r="HV41" s="23">
        <v>8.9300000000000004E-2</v>
      </c>
      <c r="HW41" s="23">
        <v>8.2900000000000001E-2</v>
      </c>
      <c r="HX41" s="23">
        <v>7.7899999999999997E-2</v>
      </c>
      <c r="HY41" s="22">
        <v>7.7700000000000005E-2</v>
      </c>
      <c r="HZ41" s="25">
        <v>7.7499999999999999E-2</v>
      </c>
      <c r="IA41" s="23">
        <v>7.8200000000000006E-2</v>
      </c>
      <c r="IB41" s="23">
        <v>7.6999999999999999E-2</v>
      </c>
      <c r="IC41" s="22">
        <v>7.8399999999999997E-2</v>
      </c>
      <c r="ID41" s="22">
        <v>7.8399999999999997E-2</v>
      </c>
      <c r="IE41" s="25">
        <v>8.0299999999999996E-2</v>
      </c>
      <c r="IF41" s="24">
        <v>7.8299999999999995E-2</v>
      </c>
      <c r="IG41" s="24">
        <v>7.8799999999999995E-2</v>
      </c>
      <c r="IH41" s="24">
        <v>7.7899999999999997E-2</v>
      </c>
      <c r="II41" s="25">
        <v>7.9399999999999998E-2</v>
      </c>
      <c r="IJ41" s="25">
        <v>8.0100000000000005E-2</v>
      </c>
      <c r="IK41" s="25">
        <v>7.8E-2</v>
      </c>
      <c r="IL41" s="25">
        <v>8.0699999999999994E-2</v>
      </c>
      <c r="IM41" s="24">
        <v>7.7799999999999994E-2</v>
      </c>
      <c r="IN41" s="23">
        <v>8.0600000000000005E-2</v>
      </c>
      <c r="IO41" s="22">
        <v>8.0299999999999996E-2</v>
      </c>
      <c r="IP41" s="25">
        <v>7.7200000000000005E-2</v>
      </c>
      <c r="IQ41" s="25">
        <v>7.3999999999999996E-2</v>
      </c>
      <c r="IR41" s="24">
        <v>7.3499999999999996E-2</v>
      </c>
      <c r="IS41" s="24">
        <v>7.0800000000000002E-2</v>
      </c>
      <c r="IT41" s="24">
        <v>6.83E-2</v>
      </c>
      <c r="IU41" s="24">
        <v>6.6299999999999998E-2</v>
      </c>
      <c r="IV41" s="25">
        <v>6.3899999999999998E-2</v>
      </c>
      <c r="IW41" s="25">
        <v>6.0699999999999997E-2</v>
      </c>
      <c r="IX41" s="25">
        <v>6.0299999999999999E-2</v>
      </c>
      <c r="IY41" s="23">
        <v>5.8900000000000001E-2</v>
      </c>
      <c r="IZ41" s="22">
        <v>5.8500000000000003E-2</v>
      </c>
      <c r="JA41" s="22">
        <v>6.0400000000000002E-2</v>
      </c>
      <c r="JB41" s="22">
        <v>5.62E-2</v>
      </c>
      <c r="JC41" s="24">
        <v>5.5800000000000002E-2</v>
      </c>
      <c r="JD41" s="23">
        <v>5.7500000000000002E-2</v>
      </c>
      <c r="JE41" s="22">
        <v>5.6500000000000002E-2</v>
      </c>
    </row>
    <row r="42" spans="1:265" ht="12.75" customHeight="1">
      <c r="A42" s="60"/>
      <c r="B42" s="60"/>
      <c r="C42" s="60"/>
      <c r="D42" s="29" t="s">
        <v>30</v>
      </c>
      <c r="E42" s="20">
        <v>40</v>
      </c>
      <c r="F42" s="19" t="s">
        <v>37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21</v>
      </c>
      <c r="O42" s="18" t="s">
        <v>21</v>
      </c>
      <c r="P42" s="18" t="s">
        <v>21</v>
      </c>
      <c r="Q42" s="18" t="s">
        <v>21</v>
      </c>
      <c r="R42" s="18" t="s">
        <v>21</v>
      </c>
      <c r="S42" s="18" t="s">
        <v>21</v>
      </c>
      <c r="T42" s="18" t="s">
        <v>21</v>
      </c>
      <c r="U42" s="18" t="s">
        <v>21</v>
      </c>
      <c r="V42" s="18" t="s">
        <v>21</v>
      </c>
      <c r="W42" s="18" t="s">
        <v>21</v>
      </c>
      <c r="X42" s="18" t="s">
        <v>21</v>
      </c>
      <c r="Y42" s="18" t="s">
        <v>21</v>
      </c>
      <c r="Z42" s="18" t="s">
        <v>21</v>
      </c>
      <c r="AA42" s="18" t="s">
        <v>21</v>
      </c>
      <c r="AB42" s="18" t="s">
        <v>21</v>
      </c>
      <c r="AC42" s="18" t="s">
        <v>21</v>
      </c>
      <c r="AD42" s="18" t="s">
        <v>21</v>
      </c>
      <c r="AE42" s="18" t="s">
        <v>21</v>
      </c>
      <c r="AF42" s="18" t="s">
        <v>21</v>
      </c>
      <c r="AG42" s="18" t="s">
        <v>21</v>
      </c>
      <c r="AH42" s="18" t="s">
        <v>21</v>
      </c>
      <c r="AI42" s="18" t="s">
        <v>21</v>
      </c>
      <c r="AJ42" s="18" t="s">
        <v>21</v>
      </c>
      <c r="AK42" s="18" t="s">
        <v>21</v>
      </c>
      <c r="AL42" s="18" t="s">
        <v>21</v>
      </c>
      <c r="AM42" s="18" t="s">
        <v>21</v>
      </c>
      <c r="AN42" s="18" t="s">
        <v>21</v>
      </c>
      <c r="AO42" s="18" t="s">
        <v>21</v>
      </c>
      <c r="AP42" s="18" t="s">
        <v>21</v>
      </c>
      <c r="AQ42" s="18" t="s">
        <v>21</v>
      </c>
      <c r="AR42" s="18" t="s">
        <v>21</v>
      </c>
      <c r="AS42" s="18" t="s">
        <v>21</v>
      </c>
      <c r="AT42" s="18" t="s">
        <v>21</v>
      </c>
      <c r="AU42" s="18" t="s">
        <v>21</v>
      </c>
      <c r="AV42" s="18" t="s">
        <v>21</v>
      </c>
      <c r="AW42" s="18" t="s">
        <v>21</v>
      </c>
      <c r="AX42" s="18" t="s">
        <v>21</v>
      </c>
      <c r="AY42" s="18" t="s">
        <v>21</v>
      </c>
      <c r="AZ42" s="18" t="s">
        <v>21</v>
      </c>
      <c r="BA42" s="18" t="s">
        <v>21</v>
      </c>
      <c r="BB42" s="18" t="s">
        <v>21</v>
      </c>
      <c r="BC42" s="18" t="s">
        <v>21</v>
      </c>
      <c r="BD42" s="18" t="s">
        <v>21</v>
      </c>
      <c r="BE42" s="18" t="s">
        <v>21</v>
      </c>
      <c r="BF42" s="18" t="s">
        <v>21</v>
      </c>
      <c r="BG42" s="18" t="s">
        <v>21</v>
      </c>
      <c r="BH42" s="18" t="s">
        <v>21</v>
      </c>
      <c r="BI42" s="18" t="s">
        <v>21</v>
      </c>
      <c r="BJ42" s="18" t="s">
        <v>21</v>
      </c>
      <c r="BK42" s="18" t="s">
        <v>21</v>
      </c>
      <c r="BL42" s="18" t="s">
        <v>21</v>
      </c>
      <c r="BM42" s="18" t="s">
        <v>21</v>
      </c>
      <c r="BN42" s="18" t="s">
        <v>21</v>
      </c>
      <c r="BO42" s="18" t="s">
        <v>21</v>
      </c>
      <c r="BP42" s="18" t="s">
        <v>21</v>
      </c>
      <c r="BQ42" s="18" t="s">
        <v>21</v>
      </c>
      <c r="BR42" s="18" t="s">
        <v>21</v>
      </c>
      <c r="BS42" s="18" t="s">
        <v>21</v>
      </c>
      <c r="BT42" s="18">
        <v>6.4199999999999993E-2</v>
      </c>
      <c r="BU42" s="18">
        <v>6.4299999999999996E-2</v>
      </c>
      <c r="BV42" s="18">
        <v>6.2700000000000006E-2</v>
      </c>
      <c r="BW42" s="18">
        <v>6.7299999999999999E-2</v>
      </c>
      <c r="BX42" s="18">
        <v>6.4299999999999996E-2</v>
      </c>
      <c r="BY42" s="18">
        <v>6.3500000000000001E-2</v>
      </c>
      <c r="BZ42" s="18">
        <v>5.7299999999999997E-2</v>
      </c>
      <c r="CA42" s="18">
        <v>5.3600000000000002E-2</v>
      </c>
      <c r="CB42" s="18">
        <v>6.2600000000000003E-2</v>
      </c>
      <c r="CC42" s="18" t="s">
        <v>25</v>
      </c>
      <c r="CD42" s="18">
        <v>5.8500000000000003E-2</v>
      </c>
      <c r="CE42" s="18">
        <v>6.3399999999999998E-2</v>
      </c>
      <c r="CF42" s="18">
        <v>6.3700000000000007E-2</v>
      </c>
      <c r="CG42" s="18">
        <v>6.6199999999999995E-2</v>
      </c>
      <c r="CH42" s="18">
        <v>6.3E-2</v>
      </c>
      <c r="CI42" s="18">
        <v>6.1199999999999997E-2</v>
      </c>
      <c r="CJ42" s="18">
        <v>6.2899999999999998E-2</v>
      </c>
      <c r="CK42" s="18">
        <v>6.4799999999999996E-2</v>
      </c>
      <c r="CL42" s="18">
        <v>6.2199999999999998E-2</v>
      </c>
      <c r="CM42" s="18">
        <v>5.9900000000000002E-2</v>
      </c>
      <c r="CN42" s="18">
        <v>6.2799999999999995E-2</v>
      </c>
      <c r="CO42" s="18">
        <v>6.3100000000000003E-2</v>
      </c>
      <c r="CP42" s="18">
        <v>7.1099999999999997E-2</v>
      </c>
      <c r="CQ42" s="18">
        <v>6.6500000000000004E-2</v>
      </c>
      <c r="CR42" s="18">
        <v>7.0499999999999993E-2</v>
      </c>
      <c r="CS42" s="18" t="s">
        <v>25</v>
      </c>
      <c r="CT42" s="18">
        <v>6.7100000000000007E-2</v>
      </c>
      <c r="CU42" s="18" t="s">
        <v>25</v>
      </c>
      <c r="CV42" s="18">
        <v>6.3100000000000003E-2</v>
      </c>
      <c r="CW42" s="18" t="s">
        <v>25</v>
      </c>
      <c r="CX42" s="18">
        <v>5.91E-2</v>
      </c>
      <c r="CY42" s="18" t="s">
        <v>25</v>
      </c>
      <c r="CZ42" s="18">
        <v>5.4800000000000001E-2</v>
      </c>
      <c r="DA42" s="18">
        <v>5.0999999999999997E-2</v>
      </c>
      <c r="DB42" s="18">
        <v>4.53E-2</v>
      </c>
      <c r="DC42" s="18">
        <v>4.6199999999999998E-2</v>
      </c>
      <c r="DD42" s="18">
        <v>4.53E-2</v>
      </c>
      <c r="DE42" s="18">
        <v>4.1799999999999997E-2</v>
      </c>
      <c r="DF42" s="18">
        <v>3.8899999999999997E-2</v>
      </c>
      <c r="DG42" s="18">
        <v>4.1099999999999998E-2</v>
      </c>
      <c r="DH42" s="18">
        <v>4.1099999999999998E-2</v>
      </c>
      <c r="DI42" s="18">
        <v>3.8199999999999998E-2</v>
      </c>
      <c r="DJ42" s="18">
        <v>4.0800000000000003E-2</v>
      </c>
      <c r="DK42" s="18">
        <v>3.7499999999999999E-2</v>
      </c>
      <c r="DL42" s="18">
        <v>3.61E-2</v>
      </c>
      <c r="DM42" s="18">
        <v>4.41E-2</v>
      </c>
      <c r="DN42" s="18">
        <v>4.0399999999999998E-2</v>
      </c>
      <c r="DO42" s="18">
        <v>4.2999999999999997E-2</v>
      </c>
      <c r="DP42" s="18">
        <v>4.1700000000000001E-2</v>
      </c>
      <c r="DQ42" s="18">
        <v>4.0599999999999997E-2</v>
      </c>
      <c r="DR42" s="18">
        <v>4.24E-2</v>
      </c>
      <c r="DS42" s="18">
        <v>4.1200000000000001E-2</v>
      </c>
      <c r="DT42" s="18">
        <v>3.5099999999999999E-2</v>
      </c>
      <c r="DU42" s="18">
        <v>3.7199999999999997E-2</v>
      </c>
      <c r="DV42" s="18">
        <v>0.04</v>
      </c>
      <c r="DW42" s="18" t="s">
        <v>25</v>
      </c>
      <c r="DX42" s="18">
        <v>4.1700000000000001E-2</v>
      </c>
      <c r="DY42" s="18">
        <v>3.9399999999999998E-2</v>
      </c>
      <c r="DZ42" s="18" t="s">
        <v>25</v>
      </c>
      <c r="EA42" s="18">
        <v>2.7900000000000001E-2</v>
      </c>
      <c r="EB42" s="18">
        <v>3.4500000000000003E-2</v>
      </c>
      <c r="EC42" s="18" t="s">
        <v>25</v>
      </c>
      <c r="ED42" s="18">
        <v>3.5999999999999997E-2</v>
      </c>
      <c r="EE42" s="18" t="s">
        <v>25</v>
      </c>
      <c r="EF42" s="18">
        <v>3.3399999999999999E-2</v>
      </c>
      <c r="EG42" s="18">
        <v>3.6600000000000001E-2</v>
      </c>
      <c r="EH42" s="18">
        <v>3.2399999999999998E-2</v>
      </c>
      <c r="EI42" s="18" t="s">
        <v>25</v>
      </c>
      <c r="EJ42" s="18" t="s">
        <v>25</v>
      </c>
      <c r="EK42" s="18" t="s">
        <v>25</v>
      </c>
      <c r="EL42" s="18" t="s">
        <v>25</v>
      </c>
      <c r="EM42" s="18" t="s">
        <v>25</v>
      </c>
      <c r="EN42" s="18">
        <v>3.3399999999999999E-2</v>
      </c>
      <c r="EO42" s="18" t="s">
        <v>25</v>
      </c>
      <c r="EP42" s="18" t="s">
        <v>25</v>
      </c>
      <c r="EQ42" s="18">
        <v>3.5499999999999997E-2</v>
      </c>
      <c r="ER42" s="18" t="s">
        <v>25</v>
      </c>
      <c r="ES42" s="18" t="s">
        <v>25</v>
      </c>
      <c r="ET42" s="18">
        <v>3.61E-2</v>
      </c>
      <c r="EU42" s="18" t="s">
        <v>25</v>
      </c>
      <c r="EV42" s="18">
        <v>3.4799999999999998E-2</v>
      </c>
      <c r="EW42" s="18">
        <v>3.5000000000000003E-2</v>
      </c>
      <c r="EX42" s="18" t="s">
        <v>25</v>
      </c>
      <c r="EY42" s="18">
        <v>3.3700000000000001E-2</v>
      </c>
      <c r="EZ42" s="18">
        <v>3.2599999999999997E-2</v>
      </c>
      <c r="FA42" s="18">
        <v>3.5400000000000001E-2</v>
      </c>
      <c r="FB42" s="18">
        <v>3.3799999999999997E-2</v>
      </c>
      <c r="FC42" s="18">
        <v>3.7499999999999999E-2</v>
      </c>
      <c r="FD42" s="18" t="s">
        <v>25</v>
      </c>
      <c r="FE42" s="18" t="s">
        <v>25</v>
      </c>
      <c r="FF42" s="18" t="s">
        <v>25</v>
      </c>
      <c r="FG42" s="18">
        <v>3.3700000000000001E-2</v>
      </c>
      <c r="FH42" s="18">
        <v>3.2599999999999997E-2</v>
      </c>
      <c r="FI42" s="18" t="s">
        <v>25</v>
      </c>
      <c r="FJ42" s="18">
        <v>3.4200000000000001E-2</v>
      </c>
      <c r="FK42" s="18">
        <v>3.5200000000000002E-2</v>
      </c>
      <c r="FL42" s="18">
        <v>3.4700000000000002E-2</v>
      </c>
      <c r="FM42" s="18">
        <v>3.5499999999999997E-2</v>
      </c>
      <c r="FN42" s="18">
        <v>3.39E-2</v>
      </c>
      <c r="FO42" s="18">
        <v>3.6600000000000001E-2</v>
      </c>
      <c r="FP42" s="18">
        <v>3.3399999999999999E-2</v>
      </c>
      <c r="FQ42" s="18">
        <v>3.9E-2</v>
      </c>
      <c r="FR42" s="18">
        <v>3.2899999999999999E-2</v>
      </c>
      <c r="FS42" s="18" t="s">
        <v>25</v>
      </c>
      <c r="FT42" s="18">
        <v>3.2899999999999999E-2</v>
      </c>
      <c r="FU42" s="18">
        <v>3.5200000000000002E-2</v>
      </c>
      <c r="FV42" s="18">
        <v>3.2000000000000001E-2</v>
      </c>
      <c r="FW42" s="18">
        <v>3.2599999999999997E-2</v>
      </c>
      <c r="FX42" s="18">
        <v>3.5799999999999998E-2</v>
      </c>
      <c r="FY42" s="18">
        <v>3.1300000000000001E-2</v>
      </c>
      <c r="FZ42" s="17">
        <v>3.32E-2</v>
      </c>
      <c r="GA42" s="13">
        <v>3.1300000000000001E-2</v>
      </c>
      <c r="GB42" s="13">
        <v>3.4000000000000002E-2</v>
      </c>
      <c r="GC42" s="13">
        <v>3.2099999999999997E-2</v>
      </c>
      <c r="GD42" s="13">
        <v>3.5299999999999998E-2</v>
      </c>
      <c r="GE42" s="13">
        <v>3.5799999999999998E-2</v>
      </c>
      <c r="GF42" s="13">
        <v>3.44E-2</v>
      </c>
      <c r="GG42" s="18">
        <v>3.3599999999999998E-2</v>
      </c>
      <c r="GH42" s="17">
        <v>2.3599999999999999E-2</v>
      </c>
      <c r="GI42" s="17">
        <v>2.3E-2</v>
      </c>
      <c r="GJ42" s="13">
        <v>2.4299999999999999E-2</v>
      </c>
      <c r="GK42" s="13">
        <v>2.0400000000000001E-2</v>
      </c>
      <c r="GL42" s="18">
        <v>2.07E-2</v>
      </c>
      <c r="GM42" s="18">
        <v>2.6800000000000001E-2</v>
      </c>
      <c r="GN42" s="17">
        <v>1.9699999999999999E-2</v>
      </c>
      <c r="GO42" s="13">
        <v>1.6799999999999999E-2</v>
      </c>
      <c r="GP42" s="13" t="s">
        <v>25</v>
      </c>
      <c r="GQ42" s="13" t="s">
        <v>25</v>
      </c>
      <c r="GR42" s="16" t="s">
        <v>25</v>
      </c>
      <c r="GS42" s="15">
        <v>1.84E-2</v>
      </c>
      <c r="GT42" s="14" t="s">
        <v>25</v>
      </c>
      <c r="GU42" s="13" t="s">
        <v>25</v>
      </c>
      <c r="GV42" s="16" t="s">
        <v>25</v>
      </c>
      <c r="GW42" s="15" t="s">
        <v>25</v>
      </c>
      <c r="GX42" s="14">
        <v>2.5700000000000001E-2</v>
      </c>
      <c r="GY42" s="13">
        <v>2.12E-2</v>
      </c>
      <c r="GZ42" s="13">
        <v>2.12E-2</v>
      </c>
      <c r="HA42" s="16">
        <v>3.6999999999999998E-2</v>
      </c>
      <c r="HB42" s="16" t="s">
        <v>25</v>
      </c>
      <c r="HC42" s="16" t="s">
        <v>25</v>
      </c>
      <c r="HD42" s="16">
        <v>4.5699999999999998E-2</v>
      </c>
      <c r="HE42" s="16">
        <v>5.7200000000000001E-2</v>
      </c>
      <c r="HF42" s="16" t="s">
        <v>25</v>
      </c>
      <c r="HG42" s="16" t="s">
        <v>25</v>
      </c>
      <c r="HH42" s="16" t="s">
        <v>25</v>
      </c>
      <c r="HI42" s="16" t="s">
        <v>25</v>
      </c>
      <c r="HJ42" s="16">
        <v>8.6900000000000005E-2</v>
      </c>
      <c r="HK42" s="16">
        <v>9.3700000000000006E-2</v>
      </c>
      <c r="HL42" s="14">
        <v>9.3399999999999997E-2</v>
      </c>
      <c r="HM42" s="14">
        <v>9.3299999999999994E-2</v>
      </c>
      <c r="HN42" s="14">
        <v>9.0300000000000005E-2</v>
      </c>
      <c r="HO42" s="14" t="s">
        <v>25</v>
      </c>
      <c r="HP42" s="14" t="s">
        <v>25</v>
      </c>
      <c r="HQ42" s="14" t="s">
        <v>25</v>
      </c>
      <c r="HR42" s="14" t="s">
        <v>25</v>
      </c>
      <c r="HS42" s="14" t="s">
        <v>25</v>
      </c>
      <c r="HT42" s="14" t="s">
        <v>25</v>
      </c>
      <c r="HU42" s="14" t="s">
        <v>25</v>
      </c>
      <c r="HV42" s="14" t="s">
        <v>25</v>
      </c>
      <c r="HW42" s="14">
        <v>7.9299999999999995E-2</v>
      </c>
      <c r="HX42" s="14" t="s">
        <v>25</v>
      </c>
      <c r="HY42" s="13" t="s">
        <v>25</v>
      </c>
      <c r="HZ42" s="16" t="s">
        <v>25</v>
      </c>
      <c r="IA42" s="14" t="s">
        <v>25</v>
      </c>
      <c r="IB42" s="14" t="s">
        <v>25</v>
      </c>
      <c r="IC42" s="13" t="s">
        <v>25</v>
      </c>
      <c r="ID42" s="13" t="s">
        <v>25</v>
      </c>
      <c r="IE42" s="16" t="s">
        <v>25</v>
      </c>
      <c r="IF42" s="15" t="s">
        <v>25</v>
      </c>
      <c r="IG42" s="15" t="s">
        <v>25</v>
      </c>
      <c r="IH42" s="15" t="s">
        <v>25</v>
      </c>
      <c r="II42" s="16" t="s">
        <v>25</v>
      </c>
      <c r="IJ42" s="16" t="s">
        <v>25</v>
      </c>
      <c r="IK42" s="16" t="s">
        <v>25</v>
      </c>
      <c r="IL42" s="16" t="s">
        <v>25</v>
      </c>
      <c r="IM42" s="15" t="s">
        <v>25</v>
      </c>
      <c r="IN42" s="14" t="s">
        <v>25</v>
      </c>
      <c r="IO42" s="13" t="s">
        <v>25</v>
      </c>
      <c r="IP42" s="16" t="s">
        <v>25</v>
      </c>
      <c r="IQ42" s="16" t="s">
        <v>25</v>
      </c>
      <c r="IR42" s="15" t="s">
        <v>25</v>
      </c>
      <c r="IS42" s="15" t="s">
        <v>25</v>
      </c>
      <c r="IT42" s="15" t="s">
        <v>25</v>
      </c>
      <c r="IU42" s="15" t="s">
        <v>25</v>
      </c>
      <c r="IV42" s="16" t="s">
        <v>25</v>
      </c>
      <c r="IW42" s="16" t="s">
        <v>25</v>
      </c>
      <c r="IX42" s="16" t="s">
        <v>25</v>
      </c>
      <c r="IY42" s="14" t="s">
        <v>25</v>
      </c>
      <c r="IZ42" s="13" t="s">
        <v>25</v>
      </c>
      <c r="JA42" s="13">
        <v>5.6300000000000003E-2</v>
      </c>
      <c r="JB42" s="13" t="s">
        <v>25</v>
      </c>
      <c r="JC42" s="15" t="s">
        <v>25</v>
      </c>
      <c r="JD42" s="14" t="s">
        <v>25</v>
      </c>
      <c r="JE42" s="13" t="s">
        <v>25</v>
      </c>
    </row>
    <row r="43" spans="1:265" ht="12.75" customHeight="1">
      <c r="A43" s="60"/>
      <c r="B43" s="60"/>
      <c r="C43" s="60"/>
      <c r="D43" s="29" t="s">
        <v>28</v>
      </c>
      <c r="E43" s="20">
        <v>41</v>
      </c>
      <c r="F43" s="19" t="s">
        <v>36</v>
      </c>
      <c r="G43" s="27" t="s">
        <v>21</v>
      </c>
      <c r="H43" s="27" t="s">
        <v>21</v>
      </c>
      <c r="I43" s="27" t="s">
        <v>21</v>
      </c>
      <c r="J43" s="27" t="s">
        <v>21</v>
      </c>
      <c r="K43" s="27" t="s">
        <v>21</v>
      </c>
      <c r="L43" s="27" t="s">
        <v>21</v>
      </c>
      <c r="M43" s="27" t="s">
        <v>21</v>
      </c>
      <c r="N43" s="27" t="s">
        <v>21</v>
      </c>
      <c r="O43" s="27" t="s">
        <v>21</v>
      </c>
      <c r="P43" s="27" t="s">
        <v>21</v>
      </c>
      <c r="Q43" s="27" t="s">
        <v>21</v>
      </c>
      <c r="R43" s="27" t="s">
        <v>21</v>
      </c>
      <c r="S43" s="27" t="s">
        <v>21</v>
      </c>
      <c r="T43" s="27" t="s">
        <v>21</v>
      </c>
      <c r="U43" s="27" t="s">
        <v>21</v>
      </c>
      <c r="V43" s="27" t="s">
        <v>21</v>
      </c>
      <c r="W43" s="27" t="s">
        <v>21</v>
      </c>
      <c r="X43" s="27" t="s">
        <v>21</v>
      </c>
      <c r="Y43" s="27" t="s">
        <v>21</v>
      </c>
      <c r="Z43" s="27" t="s">
        <v>21</v>
      </c>
      <c r="AA43" s="27" t="s">
        <v>21</v>
      </c>
      <c r="AB43" s="27" t="s">
        <v>21</v>
      </c>
      <c r="AC43" s="27" t="s">
        <v>21</v>
      </c>
      <c r="AD43" s="27" t="s">
        <v>21</v>
      </c>
      <c r="AE43" s="27" t="s">
        <v>21</v>
      </c>
      <c r="AF43" s="27" t="s">
        <v>21</v>
      </c>
      <c r="AG43" s="27" t="s">
        <v>21</v>
      </c>
      <c r="AH43" s="27" t="s">
        <v>21</v>
      </c>
      <c r="AI43" s="27" t="s">
        <v>21</v>
      </c>
      <c r="AJ43" s="27" t="s">
        <v>21</v>
      </c>
      <c r="AK43" s="27" t="s">
        <v>21</v>
      </c>
      <c r="AL43" s="27" t="s">
        <v>21</v>
      </c>
      <c r="AM43" s="27" t="s">
        <v>21</v>
      </c>
      <c r="AN43" s="27" t="s">
        <v>21</v>
      </c>
      <c r="AO43" s="27" t="s">
        <v>21</v>
      </c>
      <c r="AP43" s="27" t="s">
        <v>21</v>
      </c>
      <c r="AQ43" s="27" t="s">
        <v>21</v>
      </c>
      <c r="AR43" s="27" t="s">
        <v>21</v>
      </c>
      <c r="AS43" s="27" t="s">
        <v>21</v>
      </c>
      <c r="AT43" s="27" t="s">
        <v>21</v>
      </c>
      <c r="AU43" s="27" t="s">
        <v>21</v>
      </c>
      <c r="AV43" s="27" t="s">
        <v>21</v>
      </c>
      <c r="AW43" s="27" t="s">
        <v>21</v>
      </c>
      <c r="AX43" s="27" t="s">
        <v>21</v>
      </c>
      <c r="AY43" s="27" t="s">
        <v>21</v>
      </c>
      <c r="AZ43" s="27" t="s">
        <v>21</v>
      </c>
      <c r="BA43" s="27" t="s">
        <v>21</v>
      </c>
      <c r="BB43" s="27" t="s">
        <v>21</v>
      </c>
      <c r="BC43" s="27" t="s">
        <v>21</v>
      </c>
      <c r="BD43" s="27" t="s">
        <v>21</v>
      </c>
      <c r="BE43" s="27" t="s">
        <v>21</v>
      </c>
      <c r="BF43" s="27" t="s">
        <v>21</v>
      </c>
      <c r="BG43" s="27" t="s">
        <v>21</v>
      </c>
      <c r="BH43" s="27" t="s">
        <v>21</v>
      </c>
      <c r="BI43" s="27" t="s">
        <v>21</v>
      </c>
      <c r="BJ43" s="27" t="s">
        <v>21</v>
      </c>
      <c r="BK43" s="27" t="s">
        <v>21</v>
      </c>
      <c r="BL43" s="27" t="s">
        <v>21</v>
      </c>
      <c r="BM43" s="27" t="s">
        <v>21</v>
      </c>
      <c r="BN43" s="27" t="s">
        <v>21</v>
      </c>
      <c r="BO43" s="27" t="s">
        <v>21</v>
      </c>
      <c r="BP43" s="27" t="s">
        <v>21</v>
      </c>
      <c r="BQ43" s="27" t="s">
        <v>21</v>
      </c>
      <c r="BR43" s="27" t="s">
        <v>21</v>
      </c>
      <c r="BS43" s="27" t="s">
        <v>21</v>
      </c>
      <c r="BT43" s="27">
        <v>5.7700000000000001E-2</v>
      </c>
      <c r="BU43" s="27">
        <v>6.6500000000000004E-2</v>
      </c>
      <c r="BV43" s="27" t="s">
        <v>26</v>
      </c>
      <c r="BW43" s="27" t="s">
        <v>26</v>
      </c>
      <c r="BX43" s="27">
        <v>5.6899999999999999E-2</v>
      </c>
      <c r="BY43" s="27">
        <v>6.0600000000000001E-2</v>
      </c>
      <c r="BZ43" s="27">
        <v>5.8500000000000003E-2</v>
      </c>
      <c r="CA43" s="27" t="s">
        <v>25</v>
      </c>
      <c r="CB43" s="27" t="s">
        <v>25</v>
      </c>
      <c r="CC43" s="27" t="s">
        <v>25</v>
      </c>
      <c r="CD43" s="27" t="s">
        <v>25</v>
      </c>
      <c r="CE43" s="27" t="s">
        <v>25</v>
      </c>
      <c r="CF43" s="27" t="s">
        <v>25</v>
      </c>
      <c r="CG43" s="27" t="s">
        <v>25</v>
      </c>
      <c r="CH43" s="27" t="s">
        <v>25</v>
      </c>
      <c r="CI43" s="27" t="s">
        <v>25</v>
      </c>
      <c r="CJ43" s="27" t="s">
        <v>25</v>
      </c>
      <c r="CK43" s="27" t="s">
        <v>25</v>
      </c>
      <c r="CL43" s="27" t="s">
        <v>25</v>
      </c>
      <c r="CM43" s="27" t="s">
        <v>26</v>
      </c>
      <c r="CN43" s="27" t="s">
        <v>25</v>
      </c>
      <c r="CO43" s="27" t="s">
        <v>25</v>
      </c>
      <c r="CP43" s="27" t="s">
        <v>25</v>
      </c>
      <c r="CQ43" s="27" t="s">
        <v>25</v>
      </c>
      <c r="CR43" s="27" t="s">
        <v>25</v>
      </c>
      <c r="CS43" s="27" t="s">
        <v>26</v>
      </c>
      <c r="CT43" s="27" t="s">
        <v>25</v>
      </c>
      <c r="CU43" s="27">
        <v>5.3699999999999998E-2</v>
      </c>
      <c r="CV43" s="27" t="s">
        <v>25</v>
      </c>
      <c r="CW43" s="27" t="s">
        <v>25</v>
      </c>
      <c r="CX43" s="27" t="s">
        <v>25</v>
      </c>
      <c r="CY43" s="27" t="s">
        <v>25</v>
      </c>
      <c r="CZ43" s="27" t="s">
        <v>26</v>
      </c>
      <c r="DA43" s="27" t="s">
        <v>25</v>
      </c>
      <c r="DB43" s="27" t="s">
        <v>26</v>
      </c>
      <c r="DC43" s="27" t="s">
        <v>25</v>
      </c>
      <c r="DD43" s="27" t="s">
        <v>26</v>
      </c>
      <c r="DE43" s="27">
        <v>4.5999999999999999E-2</v>
      </c>
      <c r="DF43" s="27" t="s">
        <v>25</v>
      </c>
      <c r="DG43" s="27" t="s">
        <v>25</v>
      </c>
      <c r="DH43" s="27" t="s">
        <v>25</v>
      </c>
      <c r="DI43" s="27" t="s">
        <v>25</v>
      </c>
      <c r="DJ43" s="27" t="s">
        <v>25</v>
      </c>
      <c r="DK43" s="27" t="s">
        <v>26</v>
      </c>
      <c r="DL43" s="27" t="s">
        <v>25</v>
      </c>
      <c r="DM43" s="27" t="s">
        <v>25</v>
      </c>
      <c r="DN43" s="27" t="s">
        <v>25</v>
      </c>
      <c r="DO43" s="27" t="s">
        <v>26</v>
      </c>
      <c r="DP43" s="27" t="s">
        <v>25</v>
      </c>
      <c r="DQ43" s="27" t="s">
        <v>25</v>
      </c>
      <c r="DR43" s="27" t="s">
        <v>25</v>
      </c>
      <c r="DS43" s="27" t="s">
        <v>25</v>
      </c>
      <c r="DT43" s="27" t="s">
        <v>25</v>
      </c>
      <c r="DU43" s="27" t="s">
        <v>26</v>
      </c>
      <c r="DV43" s="27" t="s">
        <v>25</v>
      </c>
      <c r="DW43" s="27" t="s">
        <v>25</v>
      </c>
      <c r="DX43" s="27" t="s">
        <v>25</v>
      </c>
      <c r="DY43" s="27" t="s">
        <v>25</v>
      </c>
      <c r="DZ43" s="27" t="s">
        <v>25</v>
      </c>
      <c r="EA43" s="27" t="s">
        <v>25</v>
      </c>
      <c r="EB43" s="27" t="s">
        <v>25</v>
      </c>
      <c r="EC43" s="27" t="s">
        <v>25</v>
      </c>
      <c r="ED43" s="27" t="s">
        <v>25</v>
      </c>
      <c r="EE43" s="27" t="s">
        <v>25</v>
      </c>
      <c r="EF43" s="27" t="s">
        <v>25</v>
      </c>
      <c r="EG43" s="27">
        <v>3.7499999999999999E-2</v>
      </c>
      <c r="EH43" s="27" t="s">
        <v>25</v>
      </c>
      <c r="EI43" s="27" t="s">
        <v>25</v>
      </c>
      <c r="EJ43" s="27" t="s">
        <v>25</v>
      </c>
      <c r="EK43" s="27" t="s">
        <v>25</v>
      </c>
      <c r="EL43" s="27" t="s">
        <v>25</v>
      </c>
      <c r="EM43" s="27" t="s">
        <v>25</v>
      </c>
      <c r="EN43" s="27" t="s">
        <v>25</v>
      </c>
      <c r="EO43" s="27" t="s">
        <v>25</v>
      </c>
      <c r="EP43" s="27" t="s">
        <v>25</v>
      </c>
      <c r="EQ43" s="27" t="s">
        <v>25</v>
      </c>
      <c r="ER43" s="27">
        <v>3.3000000000000002E-2</v>
      </c>
      <c r="ES43" s="27" t="s">
        <v>25</v>
      </c>
      <c r="ET43" s="27" t="s">
        <v>25</v>
      </c>
      <c r="EU43" s="27" t="s">
        <v>25</v>
      </c>
      <c r="EV43" s="27" t="s">
        <v>25</v>
      </c>
      <c r="EW43" s="27" t="s">
        <v>25</v>
      </c>
      <c r="EX43" s="27" t="s">
        <v>25</v>
      </c>
      <c r="EY43" s="27">
        <v>3.2899999999999999E-2</v>
      </c>
      <c r="EZ43" s="27" t="s">
        <v>25</v>
      </c>
      <c r="FA43" s="27" t="s">
        <v>25</v>
      </c>
      <c r="FB43" s="27" t="s">
        <v>25</v>
      </c>
      <c r="FC43" s="27" t="s">
        <v>25</v>
      </c>
      <c r="FD43" s="27" t="s">
        <v>25</v>
      </c>
      <c r="FE43" s="27" t="s">
        <v>25</v>
      </c>
      <c r="FF43" s="27" t="s">
        <v>25</v>
      </c>
      <c r="FG43" s="27">
        <v>4.2099999999999999E-2</v>
      </c>
      <c r="FH43" s="27" t="s">
        <v>25</v>
      </c>
      <c r="FI43" s="27" t="s">
        <v>25</v>
      </c>
      <c r="FJ43" s="27" t="s">
        <v>25</v>
      </c>
      <c r="FK43" s="27" t="s">
        <v>25</v>
      </c>
      <c r="FL43" s="27" t="s">
        <v>25</v>
      </c>
      <c r="FM43" s="27">
        <v>4.2799999999999998E-2</v>
      </c>
      <c r="FN43" s="27" t="s">
        <v>26</v>
      </c>
      <c r="FO43" s="27">
        <v>3.9E-2</v>
      </c>
      <c r="FP43" s="27" t="s">
        <v>25</v>
      </c>
      <c r="FQ43" s="27" t="s">
        <v>25</v>
      </c>
      <c r="FR43" s="27" t="s">
        <v>25</v>
      </c>
      <c r="FS43" s="27" t="s">
        <v>25</v>
      </c>
      <c r="FT43" s="27" t="s">
        <v>25</v>
      </c>
      <c r="FU43" s="27" t="s">
        <v>25</v>
      </c>
      <c r="FV43" s="27" t="s">
        <v>25</v>
      </c>
      <c r="FW43" s="27">
        <v>3.2099999999999997E-2</v>
      </c>
      <c r="FX43" s="27">
        <v>3.0200000000000001E-2</v>
      </c>
      <c r="FY43" s="27" t="s">
        <v>25</v>
      </c>
      <c r="FZ43" s="26" t="s">
        <v>25</v>
      </c>
      <c r="GA43" s="22" t="s">
        <v>25</v>
      </c>
      <c r="GB43" s="22">
        <v>3.2599999999999997E-2</v>
      </c>
      <c r="GC43" s="22">
        <v>4.1700000000000001E-2</v>
      </c>
      <c r="GD43" s="22">
        <v>3.2300000000000002E-2</v>
      </c>
      <c r="GE43" s="22">
        <v>3.4200000000000001E-2</v>
      </c>
      <c r="GF43" s="22" t="s">
        <v>25</v>
      </c>
      <c r="GG43" s="27" t="s">
        <v>25</v>
      </c>
      <c r="GH43" s="26" t="s">
        <v>25</v>
      </c>
      <c r="GI43" s="26" t="s">
        <v>25</v>
      </c>
      <c r="GJ43" s="22">
        <v>2.1899999999999999E-2</v>
      </c>
      <c r="GK43" s="22">
        <v>2.2599999999999999E-2</v>
      </c>
      <c r="GL43" s="27">
        <v>1.9699999999999999E-2</v>
      </c>
      <c r="GM43" s="27" t="s">
        <v>25</v>
      </c>
      <c r="GN43" s="26">
        <v>1.2800000000000001E-2</v>
      </c>
      <c r="GO43" s="22">
        <v>1.0999999999999999E-2</v>
      </c>
      <c r="GP43" s="22">
        <v>1.61E-2</v>
      </c>
      <c r="GQ43" s="22">
        <v>5.3E-3</v>
      </c>
      <c r="GR43" s="25" t="s">
        <v>25</v>
      </c>
      <c r="GS43" s="24" t="s">
        <v>25</v>
      </c>
      <c r="GT43" s="23" t="s">
        <v>25</v>
      </c>
      <c r="GU43" s="22" t="s">
        <v>25</v>
      </c>
      <c r="GV43" s="25" t="s">
        <v>25</v>
      </c>
      <c r="GW43" s="24" t="s">
        <v>25</v>
      </c>
      <c r="GX43" s="23" t="s">
        <v>25</v>
      </c>
      <c r="GY43" s="22">
        <v>2.69E-2</v>
      </c>
      <c r="GZ43" s="22" t="s">
        <v>25</v>
      </c>
      <c r="HA43" s="25" t="s">
        <v>25</v>
      </c>
      <c r="HB43" s="25" t="s">
        <v>25</v>
      </c>
      <c r="HC43" s="25" t="s">
        <v>25</v>
      </c>
      <c r="HD43" s="25" t="s">
        <v>25</v>
      </c>
      <c r="HE43" s="25">
        <v>2.1399999999999999E-2</v>
      </c>
      <c r="HF43" s="25">
        <v>2.7699999999999999E-2</v>
      </c>
      <c r="HG43" s="25">
        <v>5.0200000000000002E-2</v>
      </c>
      <c r="HH43" s="25">
        <v>9.3100000000000002E-2</v>
      </c>
      <c r="HI43" s="25">
        <v>0.1043</v>
      </c>
      <c r="HJ43" s="25">
        <v>6.88E-2</v>
      </c>
      <c r="HK43" s="25" t="s">
        <v>25</v>
      </c>
      <c r="HL43" s="23" t="s">
        <v>25</v>
      </c>
      <c r="HM43" s="23" t="s">
        <v>26</v>
      </c>
      <c r="HN43" s="23" t="s">
        <v>26</v>
      </c>
      <c r="HO43" s="23" t="s">
        <v>25</v>
      </c>
      <c r="HP43" s="23" t="s">
        <v>26</v>
      </c>
      <c r="HQ43" s="23" t="s">
        <v>26</v>
      </c>
      <c r="HR43" s="23" t="s">
        <v>26</v>
      </c>
      <c r="HS43" s="23" t="s">
        <v>25</v>
      </c>
      <c r="HT43" s="23">
        <v>6.6500000000000004E-2</v>
      </c>
      <c r="HU43" s="23" t="s">
        <v>25</v>
      </c>
      <c r="HV43" s="23" t="s">
        <v>25</v>
      </c>
      <c r="HW43" s="23">
        <v>8.0799999999999997E-2</v>
      </c>
      <c r="HX43" s="23" t="s">
        <v>26</v>
      </c>
      <c r="HY43" s="22" t="s">
        <v>25</v>
      </c>
      <c r="HZ43" s="25" t="s">
        <v>25</v>
      </c>
      <c r="IA43" s="23" t="s">
        <v>25</v>
      </c>
      <c r="IB43" s="23" t="s">
        <v>26</v>
      </c>
      <c r="IC43" s="22">
        <v>5.3800000000000001E-2</v>
      </c>
      <c r="ID43" s="22" t="s">
        <v>25</v>
      </c>
      <c r="IE43" s="25" t="s">
        <v>25</v>
      </c>
      <c r="IF43" s="24" t="s">
        <v>25</v>
      </c>
      <c r="IG43" s="24">
        <v>4.3499999999999997E-2</v>
      </c>
      <c r="IH43" s="24" t="s">
        <v>26</v>
      </c>
      <c r="II43" s="25" t="s">
        <v>26</v>
      </c>
      <c r="IJ43" s="25" t="s">
        <v>26</v>
      </c>
      <c r="IK43" s="25" t="s">
        <v>25</v>
      </c>
      <c r="IL43" s="25" t="s">
        <v>25</v>
      </c>
      <c r="IM43" s="24" t="s">
        <v>25</v>
      </c>
      <c r="IN43" s="23" t="s">
        <v>26</v>
      </c>
      <c r="IO43" s="22" t="s">
        <v>25</v>
      </c>
      <c r="IP43" s="25" t="s">
        <v>25</v>
      </c>
      <c r="IQ43" s="25" t="s">
        <v>25</v>
      </c>
      <c r="IR43" s="24" t="s">
        <v>25</v>
      </c>
      <c r="IS43" s="24" t="s">
        <v>25</v>
      </c>
      <c r="IT43" s="24">
        <v>4.7800000000000002E-2</v>
      </c>
      <c r="IU43" s="24" t="s">
        <v>25</v>
      </c>
      <c r="IV43" s="25">
        <v>7.9899999999999999E-2</v>
      </c>
      <c r="IW43" s="25" t="s">
        <v>25</v>
      </c>
      <c r="IX43" s="25">
        <v>6.6400000000000001E-2</v>
      </c>
      <c r="IY43" s="23" t="s">
        <v>25</v>
      </c>
      <c r="IZ43" s="22" t="s">
        <v>25</v>
      </c>
      <c r="JA43" s="22" t="s">
        <v>25</v>
      </c>
      <c r="JB43" s="22" t="s">
        <v>25</v>
      </c>
      <c r="JC43" s="24" t="s">
        <v>25</v>
      </c>
      <c r="JD43" s="23" t="s">
        <v>25</v>
      </c>
      <c r="JE43" s="22" t="s">
        <v>25</v>
      </c>
    </row>
    <row r="44" spans="1:265" ht="12.75" customHeight="1">
      <c r="A44" s="60"/>
      <c r="B44" s="60"/>
      <c r="C44" s="60"/>
      <c r="D44" s="21" t="s">
        <v>19</v>
      </c>
      <c r="E44" s="20">
        <v>42</v>
      </c>
      <c r="F44" s="19" t="s">
        <v>35</v>
      </c>
      <c r="G44" s="18" t="s">
        <v>21</v>
      </c>
      <c r="H44" s="18" t="s">
        <v>21</v>
      </c>
      <c r="I44" s="18" t="s">
        <v>21</v>
      </c>
      <c r="J44" s="18" t="s">
        <v>21</v>
      </c>
      <c r="K44" s="18" t="s">
        <v>21</v>
      </c>
      <c r="L44" s="18" t="s">
        <v>21</v>
      </c>
      <c r="M44" s="18" t="s">
        <v>21</v>
      </c>
      <c r="N44" s="18" t="s">
        <v>21</v>
      </c>
      <c r="O44" s="18" t="s">
        <v>21</v>
      </c>
      <c r="P44" s="18" t="s">
        <v>21</v>
      </c>
      <c r="Q44" s="18" t="s">
        <v>21</v>
      </c>
      <c r="R44" s="18" t="s">
        <v>21</v>
      </c>
      <c r="S44" s="18" t="s">
        <v>21</v>
      </c>
      <c r="T44" s="18" t="s">
        <v>21</v>
      </c>
      <c r="U44" s="18" t="s">
        <v>21</v>
      </c>
      <c r="V44" s="18" t="s">
        <v>21</v>
      </c>
      <c r="W44" s="18" t="s">
        <v>21</v>
      </c>
      <c r="X44" s="18" t="s">
        <v>21</v>
      </c>
      <c r="Y44" s="18" t="s">
        <v>21</v>
      </c>
      <c r="Z44" s="18" t="s">
        <v>21</v>
      </c>
      <c r="AA44" s="18" t="s">
        <v>21</v>
      </c>
      <c r="AB44" s="18" t="s">
        <v>21</v>
      </c>
      <c r="AC44" s="18" t="s">
        <v>21</v>
      </c>
      <c r="AD44" s="18" t="s">
        <v>21</v>
      </c>
      <c r="AE44" s="18" t="s">
        <v>21</v>
      </c>
      <c r="AF44" s="18" t="s">
        <v>21</v>
      </c>
      <c r="AG44" s="18" t="s">
        <v>21</v>
      </c>
      <c r="AH44" s="18" t="s">
        <v>21</v>
      </c>
      <c r="AI44" s="18" t="s">
        <v>21</v>
      </c>
      <c r="AJ44" s="18" t="s">
        <v>21</v>
      </c>
      <c r="AK44" s="18" t="s">
        <v>21</v>
      </c>
      <c r="AL44" s="18" t="s">
        <v>21</v>
      </c>
      <c r="AM44" s="18" t="s">
        <v>21</v>
      </c>
      <c r="AN44" s="18" t="s">
        <v>21</v>
      </c>
      <c r="AO44" s="18" t="s">
        <v>21</v>
      </c>
      <c r="AP44" s="18" t="s">
        <v>21</v>
      </c>
      <c r="AQ44" s="18" t="s">
        <v>21</v>
      </c>
      <c r="AR44" s="18" t="s">
        <v>21</v>
      </c>
      <c r="AS44" s="18" t="s">
        <v>21</v>
      </c>
      <c r="AT44" s="18" t="s">
        <v>21</v>
      </c>
      <c r="AU44" s="18" t="s">
        <v>21</v>
      </c>
      <c r="AV44" s="18" t="s">
        <v>21</v>
      </c>
      <c r="AW44" s="18" t="s">
        <v>21</v>
      </c>
      <c r="AX44" s="18" t="s">
        <v>21</v>
      </c>
      <c r="AY44" s="18" t="s">
        <v>21</v>
      </c>
      <c r="AZ44" s="18" t="s">
        <v>21</v>
      </c>
      <c r="BA44" s="18" t="s">
        <v>21</v>
      </c>
      <c r="BB44" s="18" t="s">
        <v>21</v>
      </c>
      <c r="BC44" s="18" t="s">
        <v>21</v>
      </c>
      <c r="BD44" s="18" t="s">
        <v>21</v>
      </c>
      <c r="BE44" s="18" t="s">
        <v>21</v>
      </c>
      <c r="BF44" s="18" t="s">
        <v>21</v>
      </c>
      <c r="BG44" s="18" t="s">
        <v>21</v>
      </c>
      <c r="BH44" s="18" t="s">
        <v>21</v>
      </c>
      <c r="BI44" s="18" t="s">
        <v>21</v>
      </c>
      <c r="BJ44" s="18" t="s">
        <v>21</v>
      </c>
      <c r="BK44" s="18" t="s">
        <v>21</v>
      </c>
      <c r="BL44" s="18" t="s">
        <v>21</v>
      </c>
      <c r="BM44" s="18" t="s">
        <v>21</v>
      </c>
      <c r="BN44" s="18" t="s">
        <v>21</v>
      </c>
      <c r="BO44" s="18" t="s">
        <v>21</v>
      </c>
      <c r="BP44" s="18" t="s">
        <v>21</v>
      </c>
      <c r="BQ44" s="18" t="s">
        <v>21</v>
      </c>
      <c r="BR44" s="18" t="s">
        <v>21</v>
      </c>
      <c r="BS44" s="18" t="s">
        <v>21</v>
      </c>
      <c r="BT44" s="18">
        <v>6.4299999999999996E-2</v>
      </c>
      <c r="BU44" s="18">
        <v>6.6199999999999995E-2</v>
      </c>
      <c r="BV44" s="18">
        <v>6.7500000000000004E-2</v>
      </c>
      <c r="BW44" s="18">
        <v>6.6699999999999995E-2</v>
      </c>
      <c r="BX44" s="18">
        <v>6.2799999999999995E-2</v>
      </c>
      <c r="BY44" s="18">
        <v>6.1499999999999999E-2</v>
      </c>
      <c r="BZ44" s="18">
        <v>5.9700000000000003E-2</v>
      </c>
      <c r="CA44" s="18">
        <v>6.5000000000000002E-2</v>
      </c>
      <c r="CB44" s="18">
        <v>6.3700000000000007E-2</v>
      </c>
      <c r="CC44" s="18">
        <v>6.0199999999999997E-2</v>
      </c>
      <c r="CD44" s="18">
        <v>6.3E-2</v>
      </c>
      <c r="CE44" s="18">
        <v>6.5500000000000003E-2</v>
      </c>
      <c r="CF44" s="18">
        <v>6.6600000000000006E-2</v>
      </c>
      <c r="CG44" s="18">
        <v>6.6699999999999995E-2</v>
      </c>
      <c r="CH44" s="18">
        <v>6.6000000000000003E-2</v>
      </c>
      <c r="CI44" s="18">
        <v>6.6799999999999998E-2</v>
      </c>
      <c r="CJ44" s="18">
        <v>6.4699999999999994E-2</v>
      </c>
      <c r="CK44" s="18">
        <v>6.6900000000000001E-2</v>
      </c>
      <c r="CL44" s="18">
        <v>6.6600000000000006E-2</v>
      </c>
      <c r="CM44" s="18">
        <v>6.8000000000000005E-2</v>
      </c>
      <c r="CN44" s="18">
        <v>6.6299999999999998E-2</v>
      </c>
      <c r="CO44" s="18">
        <v>6.7900000000000002E-2</v>
      </c>
      <c r="CP44" s="18">
        <v>6.5799999999999997E-2</v>
      </c>
      <c r="CQ44" s="18">
        <v>6.93E-2</v>
      </c>
      <c r="CR44" s="18">
        <v>6.7000000000000004E-2</v>
      </c>
      <c r="CS44" s="18">
        <v>6.8599999999999994E-2</v>
      </c>
      <c r="CT44" s="18">
        <v>7.0199999999999999E-2</v>
      </c>
      <c r="CU44" s="18">
        <v>6.7599999999999993E-2</v>
      </c>
      <c r="CV44" s="18">
        <v>7.1800000000000003E-2</v>
      </c>
      <c r="CW44" s="18">
        <v>6.9900000000000004E-2</v>
      </c>
      <c r="CX44" s="18">
        <v>6.2300000000000001E-2</v>
      </c>
      <c r="CY44" s="18">
        <v>5.6800000000000003E-2</v>
      </c>
      <c r="CZ44" s="18">
        <v>5.5100000000000003E-2</v>
      </c>
      <c r="DA44" s="18">
        <v>5.2299999999999999E-2</v>
      </c>
      <c r="DB44" s="18">
        <v>5.1400000000000001E-2</v>
      </c>
      <c r="DC44" s="18">
        <v>4.99E-2</v>
      </c>
      <c r="DD44" s="18">
        <v>4.7600000000000003E-2</v>
      </c>
      <c r="DE44" s="18">
        <v>4.6399999999999997E-2</v>
      </c>
      <c r="DF44" s="18">
        <v>4.53E-2</v>
      </c>
      <c r="DG44" s="18">
        <v>4.53E-2</v>
      </c>
      <c r="DH44" s="18">
        <v>4.3999999999999997E-2</v>
      </c>
      <c r="DI44" s="18">
        <v>4.3099999999999999E-2</v>
      </c>
      <c r="DJ44" s="18">
        <v>4.3200000000000002E-2</v>
      </c>
      <c r="DK44" s="18">
        <v>4.1200000000000001E-2</v>
      </c>
      <c r="DL44" s="18">
        <v>4.3200000000000002E-2</v>
      </c>
      <c r="DM44" s="18">
        <v>4.53E-2</v>
      </c>
      <c r="DN44" s="18">
        <v>4.6399999999999997E-2</v>
      </c>
      <c r="DO44" s="18">
        <v>4.4299999999999999E-2</v>
      </c>
      <c r="DP44" s="18">
        <v>4.48E-2</v>
      </c>
      <c r="DQ44" s="18">
        <v>4.4900000000000002E-2</v>
      </c>
      <c r="DR44" s="18">
        <v>4.6800000000000001E-2</v>
      </c>
      <c r="DS44" s="18">
        <v>4.3200000000000002E-2</v>
      </c>
      <c r="DT44" s="18">
        <v>4.3999999999999997E-2</v>
      </c>
      <c r="DU44" s="18">
        <v>3.7199999999999997E-2</v>
      </c>
      <c r="DV44" s="18">
        <v>3.9E-2</v>
      </c>
      <c r="DW44" s="18">
        <v>3.8199999999999998E-2</v>
      </c>
      <c r="DX44" s="18">
        <v>3.9199999999999999E-2</v>
      </c>
      <c r="DY44" s="18">
        <v>3.4299999999999997E-2</v>
      </c>
      <c r="DZ44" s="18">
        <v>3.6700000000000003E-2</v>
      </c>
      <c r="EA44" s="18">
        <v>3.3599999999999998E-2</v>
      </c>
      <c r="EB44" s="18">
        <v>3.5299999999999998E-2</v>
      </c>
      <c r="EC44" s="18">
        <v>3.8899999999999997E-2</v>
      </c>
      <c r="ED44" s="18">
        <v>3.6700000000000003E-2</v>
      </c>
      <c r="EE44" s="18">
        <v>3.3599999999999998E-2</v>
      </c>
      <c r="EF44" s="18">
        <v>3.5900000000000001E-2</v>
      </c>
      <c r="EG44" s="18">
        <v>3.6400000000000002E-2</v>
      </c>
      <c r="EH44" s="18">
        <v>3.6600000000000001E-2</v>
      </c>
      <c r="EI44" s="18">
        <v>3.3500000000000002E-2</v>
      </c>
      <c r="EJ44" s="18">
        <v>3.2300000000000002E-2</v>
      </c>
      <c r="EK44" s="18">
        <v>3.1199999999999999E-2</v>
      </c>
      <c r="EL44" s="18">
        <v>3.2800000000000003E-2</v>
      </c>
      <c r="EM44" s="18">
        <v>3.2300000000000002E-2</v>
      </c>
      <c r="EN44" s="18">
        <v>3.5499999999999997E-2</v>
      </c>
      <c r="EO44" s="18">
        <v>3.7900000000000003E-2</v>
      </c>
      <c r="EP44" s="18">
        <v>3.5299999999999998E-2</v>
      </c>
      <c r="EQ44" s="18">
        <v>3.7999999999999999E-2</v>
      </c>
      <c r="ER44" s="18">
        <v>3.9899999999999998E-2</v>
      </c>
      <c r="ES44" s="18">
        <v>3.7199999999999997E-2</v>
      </c>
      <c r="ET44" s="18">
        <v>3.8199999999999998E-2</v>
      </c>
      <c r="EU44" s="18">
        <v>3.4200000000000001E-2</v>
      </c>
      <c r="EV44" s="18">
        <v>3.5400000000000001E-2</v>
      </c>
      <c r="EW44" s="18">
        <v>3.5200000000000002E-2</v>
      </c>
      <c r="EX44" s="18">
        <v>3.5900000000000001E-2</v>
      </c>
      <c r="EY44" s="18">
        <v>3.5700000000000003E-2</v>
      </c>
      <c r="EZ44" s="18">
        <v>3.9100000000000003E-2</v>
      </c>
      <c r="FA44" s="18">
        <v>4.1500000000000002E-2</v>
      </c>
      <c r="FB44" s="18">
        <v>3.85E-2</v>
      </c>
      <c r="FC44" s="18">
        <v>4.0099999999999997E-2</v>
      </c>
      <c r="FD44" s="18">
        <v>3.9600000000000003E-2</v>
      </c>
      <c r="FE44" s="18">
        <v>3.6999999999999998E-2</v>
      </c>
      <c r="FF44" s="18">
        <v>3.8199999999999998E-2</v>
      </c>
      <c r="FG44" s="18">
        <v>3.5499999999999997E-2</v>
      </c>
      <c r="FH44" s="18">
        <v>3.8300000000000001E-2</v>
      </c>
      <c r="FI44" s="18">
        <v>3.8899999999999997E-2</v>
      </c>
      <c r="FJ44" s="18">
        <v>3.5200000000000002E-2</v>
      </c>
      <c r="FK44" s="18">
        <v>3.56E-2</v>
      </c>
      <c r="FL44" s="18">
        <v>3.4599999999999999E-2</v>
      </c>
      <c r="FM44" s="18">
        <v>3.7699999999999997E-2</v>
      </c>
      <c r="FN44" s="18">
        <v>3.9399999999999998E-2</v>
      </c>
      <c r="FO44" s="18">
        <v>3.7999999999999999E-2</v>
      </c>
      <c r="FP44" s="18">
        <v>3.7400000000000003E-2</v>
      </c>
      <c r="FQ44" s="18">
        <v>3.7699999999999997E-2</v>
      </c>
      <c r="FR44" s="18">
        <v>3.9199999999999999E-2</v>
      </c>
      <c r="FS44" s="18">
        <v>3.2300000000000002E-2</v>
      </c>
      <c r="FT44" s="18">
        <v>3.6400000000000002E-2</v>
      </c>
      <c r="FU44" s="18">
        <v>4.1200000000000001E-2</v>
      </c>
      <c r="FV44" s="18">
        <v>3.6200000000000003E-2</v>
      </c>
      <c r="FW44" s="18">
        <v>3.8600000000000002E-2</v>
      </c>
      <c r="FX44" s="18">
        <v>3.7600000000000001E-2</v>
      </c>
      <c r="FY44" s="18">
        <v>0.04</v>
      </c>
      <c r="FZ44" s="17">
        <v>3.7400000000000003E-2</v>
      </c>
      <c r="GA44" s="13">
        <v>3.95E-2</v>
      </c>
      <c r="GB44" s="13">
        <v>3.8800000000000001E-2</v>
      </c>
      <c r="GC44" s="13">
        <v>4.1099999999999998E-2</v>
      </c>
      <c r="GD44" s="13">
        <v>3.8699999999999998E-2</v>
      </c>
      <c r="GE44" s="13">
        <v>4.1200000000000001E-2</v>
      </c>
      <c r="GF44" s="13">
        <v>3.9800000000000002E-2</v>
      </c>
      <c r="GG44" s="18">
        <v>3.6700000000000003E-2</v>
      </c>
      <c r="GH44" s="17">
        <v>3.3399999999999999E-2</v>
      </c>
      <c r="GI44" s="17">
        <v>2.9600000000000001E-2</v>
      </c>
      <c r="GJ44" s="13">
        <v>2.3699999999999999E-2</v>
      </c>
      <c r="GK44" s="13">
        <v>2.4E-2</v>
      </c>
      <c r="GL44" s="18">
        <v>2.35E-2</v>
      </c>
      <c r="GM44" s="18">
        <v>2.3699999999999999E-2</v>
      </c>
      <c r="GN44" s="17">
        <v>2.4199999999999999E-2</v>
      </c>
      <c r="GO44" s="13">
        <v>2.24E-2</v>
      </c>
      <c r="GP44" s="13">
        <v>2.23E-2</v>
      </c>
      <c r="GQ44" s="13">
        <v>2.1700000000000001E-2</v>
      </c>
      <c r="GR44" s="16">
        <v>2.2599999999999999E-2</v>
      </c>
      <c r="GS44" s="15">
        <v>2.4400000000000002E-2</v>
      </c>
      <c r="GT44" s="14">
        <v>2.1399999999999999E-2</v>
      </c>
      <c r="GU44" s="13">
        <v>2.2700000000000001E-2</v>
      </c>
      <c r="GV44" s="16">
        <v>2.4799999999999999E-2</v>
      </c>
      <c r="GW44" s="15">
        <v>2.2700000000000001E-2</v>
      </c>
      <c r="GX44" s="14">
        <v>2.2800000000000001E-2</v>
      </c>
      <c r="GY44" s="13">
        <v>2.12E-2</v>
      </c>
      <c r="GZ44" s="13">
        <v>2.5000000000000001E-2</v>
      </c>
      <c r="HA44" s="16">
        <v>3.09E-2</v>
      </c>
      <c r="HB44" s="16">
        <v>4.36E-2</v>
      </c>
      <c r="HC44" s="16">
        <v>4.3900000000000002E-2</v>
      </c>
      <c r="HD44" s="16">
        <v>5.1700000000000003E-2</v>
      </c>
      <c r="HE44" s="16">
        <v>6.0199999999999997E-2</v>
      </c>
      <c r="HF44" s="16">
        <v>6.59E-2</v>
      </c>
      <c r="HG44" s="16">
        <v>7.5300000000000006E-2</v>
      </c>
      <c r="HH44" s="16">
        <v>8.3099999999999993E-2</v>
      </c>
      <c r="HI44" s="16">
        <v>8.8200000000000001E-2</v>
      </c>
      <c r="HJ44" s="16">
        <v>8.72E-2</v>
      </c>
      <c r="HK44" s="16">
        <v>8.8800000000000004E-2</v>
      </c>
      <c r="HL44" s="14">
        <v>8.9099999999999999E-2</v>
      </c>
      <c r="HM44" s="14">
        <v>8.9599999999999999E-2</v>
      </c>
      <c r="HN44" s="14">
        <v>9.1300000000000006E-2</v>
      </c>
      <c r="HO44" s="14">
        <v>8.7099999999999997E-2</v>
      </c>
      <c r="HP44" s="14">
        <v>8.8499999999999995E-2</v>
      </c>
      <c r="HQ44" s="14">
        <v>8.6800000000000002E-2</v>
      </c>
      <c r="HR44" s="14">
        <v>8.8599999999999998E-2</v>
      </c>
      <c r="HS44" s="14">
        <v>8.8999999999999996E-2</v>
      </c>
      <c r="HT44" s="14">
        <v>8.8099999999999998E-2</v>
      </c>
      <c r="HU44" s="14">
        <v>9.0800000000000006E-2</v>
      </c>
      <c r="HV44" s="14">
        <v>8.8900000000000007E-2</v>
      </c>
      <c r="HW44" s="14">
        <v>8.2600000000000007E-2</v>
      </c>
      <c r="HX44" s="14">
        <v>7.7700000000000005E-2</v>
      </c>
      <c r="HY44" s="13">
        <v>7.7799999999999994E-2</v>
      </c>
      <c r="HZ44" s="16">
        <v>7.7600000000000002E-2</v>
      </c>
      <c r="IA44" s="14">
        <v>7.8399999999999997E-2</v>
      </c>
      <c r="IB44" s="14">
        <v>7.7200000000000005E-2</v>
      </c>
      <c r="IC44" s="13">
        <v>7.7899999999999997E-2</v>
      </c>
      <c r="ID44" s="13">
        <v>7.8200000000000006E-2</v>
      </c>
      <c r="IE44" s="16">
        <v>0.08</v>
      </c>
      <c r="IF44" s="15">
        <v>7.8200000000000006E-2</v>
      </c>
      <c r="IG44" s="15">
        <v>7.8700000000000006E-2</v>
      </c>
      <c r="IH44" s="15">
        <v>7.7600000000000002E-2</v>
      </c>
      <c r="II44" s="16">
        <v>7.9399999999999998E-2</v>
      </c>
      <c r="IJ44" s="16">
        <v>7.9799999999999996E-2</v>
      </c>
      <c r="IK44" s="16">
        <v>7.7899999999999997E-2</v>
      </c>
      <c r="IL44" s="16">
        <v>8.0100000000000005E-2</v>
      </c>
      <c r="IM44" s="15">
        <v>7.7200000000000005E-2</v>
      </c>
      <c r="IN44" s="14">
        <v>0.08</v>
      </c>
      <c r="IO44" s="13">
        <v>7.9899999999999999E-2</v>
      </c>
      <c r="IP44" s="16">
        <v>7.6899999999999996E-2</v>
      </c>
      <c r="IQ44" s="16">
        <v>7.3800000000000004E-2</v>
      </c>
      <c r="IR44" s="15">
        <v>7.2999999999999995E-2</v>
      </c>
      <c r="IS44" s="15">
        <v>7.0300000000000001E-2</v>
      </c>
      <c r="IT44" s="15">
        <v>6.8000000000000005E-2</v>
      </c>
      <c r="IU44" s="15">
        <v>6.6199999999999995E-2</v>
      </c>
      <c r="IV44" s="16">
        <v>6.4000000000000001E-2</v>
      </c>
      <c r="IW44" s="16">
        <v>6.0699999999999997E-2</v>
      </c>
      <c r="IX44" s="16">
        <v>6.0199999999999997E-2</v>
      </c>
      <c r="IY44" s="14">
        <v>5.8400000000000001E-2</v>
      </c>
      <c r="IZ44" s="13">
        <v>5.8299999999999998E-2</v>
      </c>
      <c r="JA44" s="13">
        <v>6.0100000000000001E-2</v>
      </c>
      <c r="JB44" s="13">
        <v>5.5899999999999998E-2</v>
      </c>
      <c r="JC44" s="15">
        <v>5.57E-2</v>
      </c>
      <c r="JD44" s="14">
        <v>5.7200000000000001E-2</v>
      </c>
      <c r="JE44" s="13">
        <v>5.6399999999999999E-2</v>
      </c>
    </row>
    <row r="45" spans="1:265" ht="22.5" customHeight="1">
      <c r="A45" s="60"/>
      <c r="B45" s="60"/>
      <c r="C45" s="60"/>
      <c r="D45" s="28" t="s">
        <v>23</v>
      </c>
      <c r="E45" s="20">
        <v>43</v>
      </c>
      <c r="F45" s="19" t="s">
        <v>34</v>
      </c>
      <c r="G45" s="27" t="s">
        <v>21</v>
      </c>
      <c r="H45" s="27" t="s">
        <v>21</v>
      </c>
      <c r="I45" s="27" t="s">
        <v>21</v>
      </c>
      <c r="J45" s="27" t="s">
        <v>21</v>
      </c>
      <c r="K45" s="27" t="s">
        <v>21</v>
      </c>
      <c r="L45" s="27" t="s">
        <v>21</v>
      </c>
      <c r="M45" s="27" t="s">
        <v>21</v>
      </c>
      <c r="N45" s="27" t="s">
        <v>21</v>
      </c>
      <c r="O45" s="27" t="s">
        <v>21</v>
      </c>
      <c r="P45" s="27" t="s">
        <v>21</v>
      </c>
      <c r="Q45" s="27" t="s">
        <v>21</v>
      </c>
      <c r="R45" s="27" t="s">
        <v>21</v>
      </c>
      <c r="S45" s="27" t="s">
        <v>21</v>
      </c>
      <c r="T45" s="27" t="s">
        <v>21</v>
      </c>
      <c r="U45" s="27" t="s">
        <v>21</v>
      </c>
      <c r="V45" s="27" t="s">
        <v>21</v>
      </c>
      <c r="W45" s="27" t="s">
        <v>21</v>
      </c>
      <c r="X45" s="27" t="s">
        <v>21</v>
      </c>
      <c r="Y45" s="27" t="s">
        <v>21</v>
      </c>
      <c r="Z45" s="27" t="s">
        <v>21</v>
      </c>
      <c r="AA45" s="27" t="s">
        <v>21</v>
      </c>
      <c r="AB45" s="27" t="s">
        <v>21</v>
      </c>
      <c r="AC45" s="27" t="s">
        <v>21</v>
      </c>
      <c r="AD45" s="27" t="s">
        <v>21</v>
      </c>
      <c r="AE45" s="27" t="s">
        <v>21</v>
      </c>
      <c r="AF45" s="27" t="s">
        <v>21</v>
      </c>
      <c r="AG45" s="27" t="s">
        <v>21</v>
      </c>
      <c r="AH45" s="27" t="s">
        <v>21</v>
      </c>
      <c r="AI45" s="27" t="s">
        <v>21</v>
      </c>
      <c r="AJ45" s="27" t="s">
        <v>21</v>
      </c>
      <c r="AK45" s="27" t="s">
        <v>21</v>
      </c>
      <c r="AL45" s="27" t="s">
        <v>21</v>
      </c>
      <c r="AM45" s="27" t="s">
        <v>21</v>
      </c>
      <c r="AN45" s="27" t="s">
        <v>21</v>
      </c>
      <c r="AO45" s="27" t="s">
        <v>21</v>
      </c>
      <c r="AP45" s="27" t="s">
        <v>21</v>
      </c>
      <c r="AQ45" s="27" t="s">
        <v>21</v>
      </c>
      <c r="AR45" s="27" t="s">
        <v>21</v>
      </c>
      <c r="AS45" s="27" t="s">
        <v>21</v>
      </c>
      <c r="AT45" s="27" t="s">
        <v>21</v>
      </c>
      <c r="AU45" s="27" t="s">
        <v>21</v>
      </c>
      <c r="AV45" s="27" t="s">
        <v>21</v>
      </c>
      <c r="AW45" s="27" t="s">
        <v>21</v>
      </c>
      <c r="AX45" s="27" t="s">
        <v>21</v>
      </c>
      <c r="AY45" s="27" t="s">
        <v>21</v>
      </c>
      <c r="AZ45" s="27" t="s">
        <v>21</v>
      </c>
      <c r="BA45" s="27" t="s">
        <v>21</v>
      </c>
      <c r="BB45" s="27" t="s">
        <v>21</v>
      </c>
      <c r="BC45" s="27" t="s">
        <v>21</v>
      </c>
      <c r="BD45" s="27" t="s">
        <v>21</v>
      </c>
      <c r="BE45" s="27" t="s">
        <v>21</v>
      </c>
      <c r="BF45" s="27" t="s">
        <v>21</v>
      </c>
      <c r="BG45" s="27" t="s">
        <v>21</v>
      </c>
      <c r="BH45" s="27" t="s">
        <v>21</v>
      </c>
      <c r="BI45" s="27" t="s">
        <v>21</v>
      </c>
      <c r="BJ45" s="27" t="s">
        <v>21</v>
      </c>
      <c r="BK45" s="27" t="s">
        <v>21</v>
      </c>
      <c r="BL45" s="27" t="s">
        <v>21</v>
      </c>
      <c r="BM45" s="27" t="s">
        <v>21</v>
      </c>
      <c r="BN45" s="27" t="s">
        <v>21</v>
      </c>
      <c r="BO45" s="27" t="s">
        <v>21</v>
      </c>
      <c r="BP45" s="27" t="s">
        <v>21</v>
      </c>
      <c r="BQ45" s="27" t="s">
        <v>21</v>
      </c>
      <c r="BR45" s="27" t="s">
        <v>21</v>
      </c>
      <c r="BS45" s="27" t="s">
        <v>21</v>
      </c>
      <c r="BT45" s="27">
        <v>6.6699999999999995E-2</v>
      </c>
      <c r="BU45" s="27">
        <v>6.6900000000000001E-2</v>
      </c>
      <c r="BV45" s="27">
        <v>6.9599999999999995E-2</v>
      </c>
      <c r="BW45" s="27">
        <v>6.59E-2</v>
      </c>
      <c r="BX45" s="27">
        <v>6.4299999999999996E-2</v>
      </c>
      <c r="BY45" s="27">
        <v>6.3899999999999998E-2</v>
      </c>
      <c r="BZ45" s="27">
        <v>6.2700000000000006E-2</v>
      </c>
      <c r="CA45" s="27">
        <v>6.5799999999999997E-2</v>
      </c>
      <c r="CB45" s="27">
        <v>6.7599999999999993E-2</v>
      </c>
      <c r="CC45" s="27">
        <v>6.6600000000000006E-2</v>
      </c>
      <c r="CD45" s="27">
        <v>6.6699999999999995E-2</v>
      </c>
      <c r="CE45" s="27">
        <v>6.7100000000000007E-2</v>
      </c>
      <c r="CF45" s="27">
        <v>7.1499999999999994E-2</v>
      </c>
      <c r="CG45" s="27">
        <v>7.0400000000000004E-2</v>
      </c>
      <c r="CH45" s="27">
        <v>6.9400000000000003E-2</v>
      </c>
      <c r="CI45" s="27">
        <v>7.0999999999999994E-2</v>
      </c>
      <c r="CJ45" s="27">
        <v>6.8599999999999994E-2</v>
      </c>
      <c r="CK45" s="27">
        <v>7.1599999999999997E-2</v>
      </c>
      <c r="CL45" s="27">
        <v>7.2499999999999995E-2</v>
      </c>
      <c r="CM45" s="27">
        <v>6.9800000000000001E-2</v>
      </c>
      <c r="CN45" s="27">
        <v>6.9500000000000006E-2</v>
      </c>
      <c r="CO45" s="27">
        <v>7.3400000000000007E-2</v>
      </c>
      <c r="CP45" s="27">
        <v>6.88E-2</v>
      </c>
      <c r="CQ45" s="27">
        <v>7.1400000000000005E-2</v>
      </c>
      <c r="CR45" s="27">
        <v>6.9199999999999998E-2</v>
      </c>
      <c r="CS45" s="27">
        <v>7.1999999999999995E-2</v>
      </c>
      <c r="CT45" s="27">
        <v>7.3499999999999996E-2</v>
      </c>
      <c r="CU45" s="27">
        <v>7.0699999999999999E-2</v>
      </c>
      <c r="CV45" s="27">
        <v>7.5399999999999995E-2</v>
      </c>
      <c r="CW45" s="27">
        <v>7.2900000000000006E-2</v>
      </c>
      <c r="CX45" s="27">
        <v>6.6900000000000001E-2</v>
      </c>
      <c r="CY45" s="27">
        <v>6.4000000000000001E-2</v>
      </c>
      <c r="CZ45" s="27">
        <v>6.1100000000000002E-2</v>
      </c>
      <c r="DA45" s="27">
        <v>5.7200000000000001E-2</v>
      </c>
      <c r="DB45" s="27">
        <v>5.4399999999999997E-2</v>
      </c>
      <c r="DC45" s="27">
        <v>5.2699999999999997E-2</v>
      </c>
      <c r="DD45" s="27">
        <v>5.0500000000000003E-2</v>
      </c>
      <c r="DE45" s="27">
        <v>4.7800000000000002E-2</v>
      </c>
      <c r="DF45" s="27">
        <v>4.6699999999999998E-2</v>
      </c>
      <c r="DG45" s="27">
        <v>4.7699999999999999E-2</v>
      </c>
      <c r="DH45" s="27">
        <v>4.5999999999999999E-2</v>
      </c>
      <c r="DI45" s="27">
        <v>4.4900000000000002E-2</v>
      </c>
      <c r="DJ45" s="27">
        <v>4.7600000000000003E-2</v>
      </c>
      <c r="DK45" s="27">
        <v>4.4600000000000001E-2</v>
      </c>
      <c r="DL45" s="27">
        <v>4.82E-2</v>
      </c>
      <c r="DM45" s="27">
        <v>4.9200000000000001E-2</v>
      </c>
      <c r="DN45" s="27">
        <v>4.7899999999999998E-2</v>
      </c>
      <c r="DO45" s="27">
        <v>4.7399999999999998E-2</v>
      </c>
      <c r="DP45" s="27">
        <v>4.7399999999999998E-2</v>
      </c>
      <c r="DQ45" s="27">
        <v>4.7500000000000001E-2</v>
      </c>
      <c r="DR45" s="27">
        <v>4.6399999999999997E-2</v>
      </c>
      <c r="DS45" s="27">
        <v>4.58E-2</v>
      </c>
      <c r="DT45" s="27">
        <v>4.3700000000000003E-2</v>
      </c>
      <c r="DU45" s="27">
        <v>4.1599999999999998E-2</v>
      </c>
      <c r="DV45" s="27">
        <v>4.2000000000000003E-2</v>
      </c>
      <c r="DW45" s="27">
        <v>4.7500000000000001E-2</v>
      </c>
      <c r="DX45" s="27">
        <v>4.3400000000000001E-2</v>
      </c>
      <c r="DY45" s="27">
        <v>3.9300000000000002E-2</v>
      </c>
      <c r="DZ45" s="27">
        <v>3.85E-2</v>
      </c>
      <c r="EA45" s="27">
        <v>3.8199999999999998E-2</v>
      </c>
      <c r="EB45" s="27">
        <v>3.5099999999999999E-2</v>
      </c>
      <c r="EC45" s="27">
        <v>4.1300000000000003E-2</v>
      </c>
      <c r="ED45" s="27">
        <v>3.7999999999999999E-2</v>
      </c>
      <c r="EE45" s="27">
        <v>3.6700000000000003E-2</v>
      </c>
      <c r="EF45" s="27">
        <v>3.8800000000000001E-2</v>
      </c>
      <c r="EG45" s="27">
        <v>3.8600000000000002E-2</v>
      </c>
      <c r="EH45" s="27">
        <v>4.07E-2</v>
      </c>
      <c r="EI45" s="27">
        <v>3.8699999999999998E-2</v>
      </c>
      <c r="EJ45" s="27">
        <v>3.61E-2</v>
      </c>
      <c r="EK45" s="27">
        <v>3.5700000000000003E-2</v>
      </c>
      <c r="EL45" s="27">
        <v>3.85E-2</v>
      </c>
      <c r="EM45" s="27">
        <v>3.9100000000000003E-2</v>
      </c>
      <c r="EN45" s="27">
        <v>3.9600000000000003E-2</v>
      </c>
      <c r="EO45" s="27">
        <v>4.4699999999999997E-2</v>
      </c>
      <c r="EP45" s="27">
        <v>4.0300000000000002E-2</v>
      </c>
      <c r="EQ45" s="27">
        <v>4.3200000000000002E-2</v>
      </c>
      <c r="ER45" s="27">
        <v>4.8300000000000003E-2</v>
      </c>
      <c r="ES45" s="27">
        <v>4.4699999999999997E-2</v>
      </c>
      <c r="ET45" s="27">
        <v>4.1700000000000001E-2</v>
      </c>
      <c r="EU45" s="27">
        <v>3.8100000000000002E-2</v>
      </c>
      <c r="EV45" s="27">
        <v>3.9199999999999999E-2</v>
      </c>
      <c r="EW45" s="27">
        <v>3.8899999999999997E-2</v>
      </c>
      <c r="EX45" s="27">
        <v>4.3499999999999997E-2</v>
      </c>
      <c r="EY45" s="27">
        <v>3.9300000000000002E-2</v>
      </c>
      <c r="EZ45" s="27">
        <v>4.58E-2</v>
      </c>
      <c r="FA45" s="27">
        <v>4.9099999999999998E-2</v>
      </c>
      <c r="FB45" s="27">
        <v>4.36E-2</v>
      </c>
      <c r="FC45" s="27">
        <v>4.3299999999999998E-2</v>
      </c>
      <c r="FD45" s="27">
        <v>4.3099999999999999E-2</v>
      </c>
      <c r="FE45" s="27">
        <v>3.8399999999999997E-2</v>
      </c>
      <c r="FF45" s="27">
        <v>4.2200000000000001E-2</v>
      </c>
      <c r="FG45" s="27">
        <v>3.95E-2</v>
      </c>
      <c r="FH45" s="27">
        <v>4.2000000000000003E-2</v>
      </c>
      <c r="FI45" s="27">
        <v>4.2700000000000002E-2</v>
      </c>
      <c r="FJ45" s="27">
        <v>3.9199999999999999E-2</v>
      </c>
      <c r="FK45" s="27">
        <v>3.9300000000000002E-2</v>
      </c>
      <c r="FL45" s="27">
        <v>4.0399999999999998E-2</v>
      </c>
      <c r="FM45" s="27">
        <v>4.3499999999999997E-2</v>
      </c>
      <c r="FN45" s="27">
        <v>4.6899999999999997E-2</v>
      </c>
      <c r="FO45" s="27">
        <v>4.2500000000000003E-2</v>
      </c>
      <c r="FP45" s="27">
        <v>4.2599999999999999E-2</v>
      </c>
      <c r="FQ45" s="27">
        <v>4.3499999999999997E-2</v>
      </c>
      <c r="FR45" s="27">
        <v>4.4900000000000002E-2</v>
      </c>
      <c r="FS45" s="27">
        <v>3.9E-2</v>
      </c>
      <c r="FT45" s="27">
        <v>4.5499999999999999E-2</v>
      </c>
      <c r="FU45" s="27">
        <v>4.8300000000000003E-2</v>
      </c>
      <c r="FV45" s="27">
        <v>4.2599999999999999E-2</v>
      </c>
      <c r="FW45" s="27">
        <v>4.3400000000000001E-2</v>
      </c>
      <c r="FX45" s="27">
        <v>4.2000000000000003E-2</v>
      </c>
      <c r="FY45" s="27">
        <v>4.6899999999999997E-2</v>
      </c>
      <c r="FZ45" s="26">
        <v>4.4699999999999997E-2</v>
      </c>
      <c r="GA45" s="22">
        <v>4.4900000000000002E-2</v>
      </c>
      <c r="GB45" s="22">
        <v>4.24E-2</v>
      </c>
      <c r="GC45" s="22">
        <v>4.7899999999999998E-2</v>
      </c>
      <c r="GD45" s="22">
        <v>4.3499999999999997E-2</v>
      </c>
      <c r="GE45" s="22">
        <v>4.6300000000000001E-2</v>
      </c>
      <c r="GF45" s="22">
        <v>4.6399999999999997E-2</v>
      </c>
      <c r="GG45" s="27">
        <v>4.19E-2</v>
      </c>
      <c r="GH45" s="26">
        <v>4.0300000000000002E-2</v>
      </c>
      <c r="GI45" s="26">
        <v>3.5700000000000003E-2</v>
      </c>
      <c r="GJ45" s="22">
        <v>3.2000000000000001E-2</v>
      </c>
      <c r="GK45" s="22">
        <v>3.04E-2</v>
      </c>
      <c r="GL45" s="27">
        <v>3.2099999999999997E-2</v>
      </c>
      <c r="GM45" s="27">
        <v>2.9899999999999999E-2</v>
      </c>
      <c r="GN45" s="26">
        <v>2.9700000000000001E-2</v>
      </c>
      <c r="GO45" s="22">
        <v>2.87E-2</v>
      </c>
      <c r="GP45" s="22">
        <v>2.75E-2</v>
      </c>
      <c r="GQ45" s="22">
        <v>2.9000000000000001E-2</v>
      </c>
      <c r="GR45" s="25">
        <v>2.92E-2</v>
      </c>
      <c r="GS45" s="24">
        <v>2.98E-2</v>
      </c>
      <c r="GT45" s="23">
        <v>2.7199999999999998E-2</v>
      </c>
      <c r="GU45" s="22">
        <v>0.03</v>
      </c>
      <c r="GV45" s="25">
        <v>3.1199999999999999E-2</v>
      </c>
      <c r="GW45" s="24">
        <v>3.09E-2</v>
      </c>
      <c r="GX45" s="23">
        <v>2.7400000000000001E-2</v>
      </c>
      <c r="GY45" s="22">
        <v>2.5700000000000001E-2</v>
      </c>
      <c r="GZ45" s="22">
        <v>3.1600000000000003E-2</v>
      </c>
      <c r="HA45" s="25">
        <v>3.4500000000000003E-2</v>
      </c>
      <c r="HB45" s="25">
        <v>5.0999999999999997E-2</v>
      </c>
      <c r="HC45" s="25">
        <v>4.87E-2</v>
      </c>
      <c r="HD45" s="25">
        <v>5.9200000000000003E-2</v>
      </c>
      <c r="HE45" s="25">
        <v>6.6600000000000006E-2</v>
      </c>
      <c r="HF45" s="25">
        <v>6.7100000000000007E-2</v>
      </c>
      <c r="HG45" s="25">
        <v>7.9500000000000001E-2</v>
      </c>
      <c r="HH45" s="25">
        <v>8.6300000000000002E-2</v>
      </c>
      <c r="HI45" s="25">
        <v>9.0499999999999997E-2</v>
      </c>
      <c r="HJ45" s="25">
        <v>9.2499999999999999E-2</v>
      </c>
      <c r="HK45" s="25">
        <v>9.1499999999999998E-2</v>
      </c>
      <c r="HL45" s="23">
        <v>9.06E-2</v>
      </c>
      <c r="HM45" s="23">
        <v>9.2700000000000005E-2</v>
      </c>
      <c r="HN45" s="23">
        <v>9.4100000000000003E-2</v>
      </c>
      <c r="HO45" s="23">
        <v>8.8900000000000007E-2</v>
      </c>
      <c r="HP45" s="23">
        <v>9.0899999999999995E-2</v>
      </c>
      <c r="HQ45" s="23">
        <v>9.01E-2</v>
      </c>
      <c r="HR45" s="23">
        <v>9.1200000000000003E-2</v>
      </c>
      <c r="HS45" s="23">
        <v>9.4399999999999998E-2</v>
      </c>
      <c r="HT45" s="23">
        <v>9.0499999999999997E-2</v>
      </c>
      <c r="HU45" s="23">
        <v>9.7100000000000006E-2</v>
      </c>
      <c r="HV45" s="23">
        <v>9.4799999999999995E-2</v>
      </c>
      <c r="HW45" s="23">
        <v>8.7900000000000006E-2</v>
      </c>
      <c r="HX45" s="23">
        <v>8.0600000000000005E-2</v>
      </c>
      <c r="HY45" s="22">
        <v>8.0100000000000005E-2</v>
      </c>
      <c r="HZ45" s="25">
        <v>7.9399999999999998E-2</v>
      </c>
      <c r="IA45" s="23">
        <v>8.2199999999999995E-2</v>
      </c>
      <c r="IB45" s="23">
        <v>7.9200000000000007E-2</v>
      </c>
      <c r="IC45" s="22">
        <v>7.9699999999999993E-2</v>
      </c>
      <c r="ID45" s="22">
        <v>7.9799999999999996E-2</v>
      </c>
      <c r="IE45" s="25">
        <v>8.2199999999999995E-2</v>
      </c>
      <c r="IF45" s="24">
        <v>8.0199999999999994E-2</v>
      </c>
      <c r="IG45" s="24">
        <v>8.0799999999999997E-2</v>
      </c>
      <c r="IH45" s="24">
        <v>7.9000000000000001E-2</v>
      </c>
      <c r="II45" s="25">
        <v>8.2299999999999998E-2</v>
      </c>
      <c r="IJ45" s="25">
        <v>8.3699999999999997E-2</v>
      </c>
      <c r="IK45" s="25">
        <v>7.9500000000000001E-2</v>
      </c>
      <c r="IL45" s="25">
        <v>8.5199999999999998E-2</v>
      </c>
      <c r="IM45" s="24">
        <v>7.8200000000000006E-2</v>
      </c>
      <c r="IN45" s="23">
        <v>8.4099999999999994E-2</v>
      </c>
      <c r="IO45" s="22">
        <v>8.3400000000000002E-2</v>
      </c>
      <c r="IP45" s="25">
        <v>8.1199999999999994E-2</v>
      </c>
      <c r="IQ45" s="25">
        <v>7.7700000000000005E-2</v>
      </c>
      <c r="IR45" s="24">
        <v>7.6100000000000001E-2</v>
      </c>
      <c r="IS45" s="24">
        <v>7.2800000000000004E-2</v>
      </c>
      <c r="IT45" s="24">
        <v>7.0699999999999999E-2</v>
      </c>
      <c r="IU45" s="24">
        <v>6.83E-2</v>
      </c>
      <c r="IV45" s="25">
        <v>6.5000000000000002E-2</v>
      </c>
      <c r="IW45" s="25">
        <v>6.2E-2</v>
      </c>
      <c r="IX45" s="25">
        <v>6.5000000000000002E-2</v>
      </c>
      <c r="IY45" s="23">
        <v>6.0400000000000002E-2</v>
      </c>
      <c r="IZ45" s="22">
        <v>5.8900000000000001E-2</v>
      </c>
      <c r="JA45" s="22">
        <v>6.2E-2</v>
      </c>
      <c r="JB45" s="22">
        <v>5.5800000000000002E-2</v>
      </c>
      <c r="JC45" s="24">
        <v>5.5300000000000002E-2</v>
      </c>
      <c r="JD45" s="23">
        <v>5.8200000000000002E-2</v>
      </c>
      <c r="JE45" s="22">
        <v>5.6599999999999998E-2</v>
      </c>
    </row>
    <row r="46" spans="1:265" ht="12.75" customHeight="1">
      <c r="A46" s="60"/>
      <c r="B46" s="60"/>
      <c r="C46" s="59" t="s">
        <v>33</v>
      </c>
      <c r="D46" s="29" t="s">
        <v>32</v>
      </c>
      <c r="E46" s="20">
        <v>44</v>
      </c>
      <c r="F46" s="19" t="s">
        <v>31</v>
      </c>
      <c r="G46" s="18">
        <v>8.1100000000000005E-2</v>
      </c>
      <c r="H46" s="18">
        <v>7.7499999999999999E-2</v>
      </c>
      <c r="I46" s="18">
        <v>7.4700000000000003E-2</v>
      </c>
      <c r="J46" s="18">
        <v>6.8099999999999994E-2</v>
      </c>
      <c r="K46" s="18">
        <v>6.7799999999999999E-2</v>
      </c>
      <c r="L46" s="18">
        <v>6.54E-2</v>
      </c>
      <c r="M46" s="18">
        <v>6.1499999999999999E-2</v>
      </c>
      <c r="N46" s="18">
        <v>6.2600000000000003E-2</v>
      </c>
      <c r="O46" s="18">
        <v>6.3700000000000007E-2</v>
      </c>
      <c r="P46" s="18">
        <v>7.2999999999999995E-2</v>
      </c>
      <c r="Q46" s="18">
        <v>6.08E-2</v>
      </c>
      <c r="R46" s="18">
        <v>6.3100000000000003E-2</v>
      </c>
      <c r="S46" s="18">
        <v>5.8099999999999999E-2</v>
      </c>
      <c r="T46" s="18">
        <v>5.4100000000000002E-2</v>
      </c>
      <c r="U46" s="18">
        <v>5.6000000000000001E-2</v>
      </c>
      <c r="V46" s="18">
        <v>5.7799999999999997E-2</v>
      </c>
      <c r="W46" s="18">
        <v>5.4899999999999997E-2</v>
      </c>
      <c r="X46" s="18">
        <v>5.5E-2</v>
      </c>
      <c r="Y46" s="18">
        <v>5.5500000000000001E-2</v>
      </c>
      <c r="Z46" s="18">
        <v>5.67E-2</v>
      </c>
      <c r="AA46" s="18">
        <v>5.6800000000000003E-2</v>
      </c>
      <c r="AB46" s="18">
        <v>5.5399999999999998E-2</v>
      </c>
      <c r="AC46" s="18">
        <v>5.8599999999999999E-2</v>
      </c>
      <c r="AD46" s="18">
        <v>5.45E-2</v>
      </c>
      <c r="AE46" s="18">
        <v>5.7099999999999998E-2</v>
      </c>
      <c r="AF46" s="18">
        <v>5.7799999999999997E-2</v>
      </c>
      <c r="AG46" s="18">
        <v>5.5800000000000002E-2</v>
      </c>
      <c r="AH46" s="18">
        <v>5.8900000000000001E-2</v>
      </c>
      <c r="AI46" s="18">
        <v>5.8099999999999999E-2</v>
      </c>
      <c r="AJ46" s="18">
        <v>5.9200000000000003E-2</v>
      </c>
      <c r="AK46" s="18">
        <v>6.3899999999999998E-2</v>
      </c>
      <c r="AL46" s="18">
        <v>6.13E-2</v>
      </c>
      <c r="AM46" s="18">
        <v>6.5500000000000003E-2</v>
      </c>
      <c r="AN46" s="18">
        <v>6.3E-2</v>
      </c>
      <c r="AO46" s="18">
        <v>6.6000000000000003E-2</v>
      </c>
      <c r="AP46" s="18">
        <v>7.1900000000000006E-2</v>
      </c>
      <c r="AQ46" s="18">
        <v>6.8400000000000002E-2</v>
      </c>
      <c r="AR46" s="18">
        <v>7.1400000000000005E-2</v>
      </c>
      <c r="AS46" s="18">
        <v>7.2800000000000004E-2</v>
      </c>
      <c r="AT46" s="18">
        <v>7.7899999999999997E-2</v>
      </c>
      <c r="AU46" s="18">
        <v>7.7499999999999999E-2</v>
      </c>
      <c r="AV46" s="18">
        <v>8.3400000000000002E-2</v>
      </c>
      <c r="AW46" s="18">
        <v>8.0600000000000005E-2</v>
      </c>
      <c r="AX46" s="18">
        <v>8.0799999999999997E-2</v>
      </c>
      <c r="AY46" s="18">
        <v>8.3000000000000004E-2</v>
      </c>
      <c r="AZ46" s="18">
        <v>8.2600000000000007E-2</v>
      </c>
      <c r="BA46" s="18">
        <v>8.4500000000000006E-2</v>
      </c>
      <c r="BB46" s="18">
        <v>8.2900000000000001E-2</v>
      </c>
      <c r="BC46" s="18">
        <v>7.7700000000000005E-2</v>
      </c>
      <c r="BD46" s="18">
        <v>7.0199999999999999E-2</v>
      </c>
      <c r="BE46" s="18">
        <v>6.25E-2</v>
      </c>
      <c r="BF46" s="18">
        <v>6.2199999999999998E-2</v>
      </c>
      <c r="BG46" s="18">
        <v>6.6000000000000003E-2</v>
      </c>
      <c r="BH46" s="18">
        <v>6.7699999999999996E-2</v>
      </c>
      <c r="BI46" s="18">
        <v>6.4000000000000001E-2</v>
      </c>
      <c r="BJ46" s="18">
        <v>6.2700000000000006E-2</v>
      </c>
      <c r="BK46" s="18">
        <v>6.5000000000000002E-2</v>
      </c>
      <c r="BL46" s="18">
        <v>6.2700000000000006E-2</v>
      </c>
      <c r="BM46" s="18">
        <v>6.2700000000000006E-2</v>
      </c>
      <c r="BN46" s="18">
        <v>6.4199999999999993E-2</v>
      </c>
      <c r="BO46" s="18">
        <v>6.5600000000000006E-2</v>
      </c>
      <c r="BP46" s="18">
        <v>6.59E-2</v>
      </c>
      <c r="BQ46" s="18">
        <v>6.7400000000000002E-2</v>
      </c>
      <c r="BR46" s="18">
        <v>6.5500000000000003E-2</v>
      </c>
      <c r="BS46" s="18">
        <v>6.4500000000000002E-2</v>
      </c>
      <c r="BT46" s="18">
        <v>5.6899999999999999E-2</v>
      </c>
      <c r="BU46" s="18">
        <v>5.5500000000000001E-2</v>
      </c>
      <c r="BV46" s="18">
        <v>5.8400000000000001E-2</v>
      </c>
      <c r="BW46" s="18">
        <v>5.4199999999999998E-2</v>
      </c>
      <c r="BX46" s="18">
        <v>5.6099999999999997E-2</v>
      </c>
      <c r="BY46" s="18">
        <v>5.3400000000000003E-2</v>
      </c>
      <c r="BZ46" s="18">
        <v>5.6599999999999998E-2</v>
      </c>
      <c r="CA46" s="18">
        <v>5.9200000000000003E-2</v>
      </c>
      <c r="CB46" s="18">
        <v>6.1699999999999998E-2</v>
      </c>
      <c r="CC46" s="18">
        <v>5.7099999999999998E-2</v>
      </c>
      <c r="CD46" s="18">
        <v>6.3399999999999998E-2</v>
      </c>
      <c r="CE46" s="18">
        <v>6.0100000000000001E-2</v>
      </c>
      <c r="CF46" s="18">
        <v>6.4699999999999994E-2</v>
      </c>
      <c r="CG46" s="18">
        <v>6.3399999999999998E-2</v>
      </c>
      <c r="CH46" s="18">
        <v>6.5500000000000003E-2</v>
      </c>
      <c r="CI46" s="18">
        <v>6.3899999999999998E-2</v>
      </c>
      <c r="CJ46" s="18">
        <v>6.3500000000000001E-2</v>
      </c>
      <c r="CK46" s="18">
        <v>7.7299999999999994E-2</v>
      </c>
      <c r="CL46" s="18">
        <v>6.5699999999999995E-2</v>
      </c>
      <c r="CM46" s="18">
        <v>6.7199999999999996E-2</v>
      </c>
      <c r="CN46" s="18">
        <v>6.3100000000000003E-2</v>
      </c>
      <c r="CO46" s="18">
        <v>6.1199999999999997E-2</v>
      </c>
      <c r="CP46" s="18">
        <v>6.54E-2</v>
      </c>
      <c r="CQ46" s="18">
        <v>6.8500000000000005E-2</v>
      </c>
      <c r="CR46" s="18">
        <v>6.5500000000000003E-2</v>
      </c>
      <c r="CS46" s="18">
        <v>6.7500000000000004E-2</v>
      </c>
      <c r="CT46" s="18">
        <v>6.4299999999999996E-2</v>
      </c>
      <c r="CU46" s="18">
        <v>6.5600000000000006E-2</v>
      </c>
      <c r="CV46" s="18">
        <v>6.7199999999999996E-2</v>
      </c>
      <c r="CW46" s="18">
        <v>6.5799999999999997E-2</v>
      </c>
      <c r="CX46" s="18">
        <v>5.8700000000000002E-2</v>
      </c>
      <c r="CY46" s="18">
        <v>6.0600000000000001E-2</v>
      </c>
      <c r="CZ46" s="18">
        <v>5.4100000000000002E-2</v>
      </c>
      <c r="DA46" s="18">
        <v>5.0500000000000003E-2</v>
      </c>
      <c r="DB46" s="18">
        <v>4.9200000000000001E-2</v>
      </c>
      <c r="DC46" s="18">
        <v>4.8899999999999999E-2</v>
      </c>
      <c r="DD46" s="18">
        <v>5.21E-2</v>
      </c>
      <c r="DE46" s="18">
        <v>4.7100000000000003E-2</v>
      </c>
      <c r="DF46" s="18">
        <v>4.6199999999999998E-2</v>
      </c>
      <c r="DG46" s="18">
        <v>4.24E-2</v>
      </c>
      <c r="DH46" s="18">
        <v>4.58E-2</v>
      </c>
      <c r="DI46" s="18">
        <v>4.2500000000000003E-2</v>
      </c>
      <c r="DJ46" s="18">
        <v>4.4400000000000002E-2</v>
      </c>
      <c r="DK46" s="18">
        <v>3.9600000000000003E-2</v>
      </c>
      <c r="DL46" s="18">
        <v>4.7800000000000002E-2</v>
      </c>
      <c r="DM46" s="18">
        <v>4.1500000000000002E-2</v>
      </c>
      <c r="DN46" s="18">
        <v>4.6100000000000002E-2</v>
      </c>
      <c r="DO46" s="18">
        <v>4.3299999999999998E-2</v>
      </c>
      <c r="DP46" s="18">
        <v>4.1200000000000001E-2</v>
      </c>
      <c r="DQ46" s="18">
        <v>4.5499999999999999E-2</v>
      </c>
      <c r="DR46" s="18">
        <v>4.3200000000000002E-2</v>
      </c>
      <c r="DS46" s="18">
        <v>3.8399999999999997E-2</v>
      </c>
      <c r="DT46" s="18">
        <v>4.1000000000000002E-2</v>
      </c>
      <c r="DU46" s="18">
        <v>3.7600000000000001E-2</v>
      </c>
      <c r="DV46" s="18">
        <v>3.2300000000000002E-2</v>
      </c>
      <c r="DW46" s="18">
        <v>3.4799999999999998E-2</v>
      </c>
      <c r="DX46" s="18">
        <v>3.5999999999999997E-2</v>
      </c>
      <c r="DY46" s="18">
        <v>3.04E-2</v>
      </c>
      <c r="DZ46" s="18">
        <v>3.6799999999999999E-2</v>
      </c>
      <c r="EA46" s="18">
        <v>3.5499999999999997E-2</v>
      </c>
      <c r="EB46" s="18">
        <v>3.5999999999999997E-2</v>
      </c>
      <c r="EC46" s="18">
        <v>3.4500000000000003E-2</v>
      </c>
      <c r="ED46" s="18">
        <v>3.5400000000000001E-2</v>
      </c>
      <c r="EE46" s="18">
        <v>3.56E-2</v>
      </c>
      <c r="EF46" s="18">
        <v>3.6499999999999998E-2</v>
      </c>
      <c r="EG46" s="18">
        <v>3.5700000000000003E-2</v>
      </c>
      <c r="EH46" s="18">
        <v>3.6900000000000002E-2</v>
      </c>
      <c r="EI46" s="18">
        <v>3.3500000000000002E-2</v>
      </c>
      <c r="EJ46" s="18">
        <v>3.4299999999999997E-2</v>
      </c>
      <c r="EK46" s="18">
        <v>3.2800000000000003E-2</v>
      </c>
      <c r="EL46" s="18">
        <v>3.7100000000000001E-2</v>
      </c>
      <c r="EM46" s="18">
        <v>3.7199999999999997E-2</v>
      </c>
      <c r="EN46" s="18">
        <v>3.8800000000000001E-2</v>
      </c>
      <c r="EO46" s="18">
        <v>3.9699999999999999E-2</v>
      </c>
      <c r="EP46" s="18">
        <v>3.6200000000000003E-2</v>
      </c>
      <c r="EQ46" s="18">
        <v>3.9600000000000003E-2</v>
      </c>
      <c r="ER46" s="18">
        <v>3.9199999999999999E-2</v>
      </c>
      <c r="ES46" s="18">
        <v>3.61E-2</v>
      </c>
      <c r="ET46" s="18">
        <v>3.6799999999999999E-2</v>
      </c>
      <c r="EU46" s="18">
        <v>3.9300000000000002E-2</v>
      </c>
      <c r="EV46" s="18">
        <v>4.1000000000000002E-2</v>
      </c>
      <c r="EW46" s="18">
        <v>4.07E-2</v>
      </c>
      <c r="EX46" s="18">
        <v>4.1399999999999999E-2</v>
      </c>
      <c r="EY46" s="18">
        <v>3.7999999999999999E-2</v>
      </c>
      <c r="EZ46" s="18">
        <v>3.9300000000000002E-2</v>
      </c>
      <c r="FA46" s="18">
        <v>3.5900000000000001E-2</v>
      </c>
      <c r="FB46" s="18">
        <v>4.1300000000000003E-2</v>
      </c>
      <c r="FC46" s="18">
        <v>4.1500000000000002E-2</v>
      </c>
      <c r="FD46" s="18">
        <v>4.0399999999999998E-2</v>
      </c>
      <c r="FE46" s="18">
        <v>3.9699999999999999E-2</v>
      </c>
      <c r="FF46" s="18">
        <v>3.7999999999999999E-2</v>
      </c>
      <c r="FG46" s="18">
        <v>3.7999999999999999E-2</v>
      </c>
      <c r="FH46" s="18">
        <v>4.0500000000000001E-2</v>
      </c>
      <c r="FI46" s="18">
        <v>3.7699999999999997E-2</v>
      </c>
      <c r="FJ46" s="18">
        <v>4.0599999999999997E-2</v>
      </c>
      <c r="FK46" s="18">
        <v>4.0599999999999997E-2</v>
      </c>
      <c r="FL46" s="18">
        <v>3.9399999999999998E-2</v>
      </c>
      <c r="FM46" s="18">
        <v>4.1099999999999998E-2</v>
      </c>
      <c r="FN46" s="18">
        <v>3.9800000000000002E-2</v>
      </c>
      <c r="FO46" s="18">
        <v>3.5900000000000001E-2</v>
      </c>
      <c r="FP46" s="18">
        <v>4.0099999999999997E-2</v>
      </c>
      <c r="FQ46" s="18">
        <v>3.9100000000000003E-2</v>
      </c>
      <c r="FR46" s="18">
        <v>3.61E-2</v>
      </c>
      <c r="FS46" s="18">
        <v>4.2299999999999997E-2</v>
      </c>
      <c r="FT46" s="18">
        <v>4.0899999999999999E-2</v>
      </c>
      <c r="FU46" s="18">
        <v>4.3200000000000002E-2</v>
      </c>
      <c r="FV46" s="18">
        <v>4.0500000000000001E-2</v>
      </c>
      <c r="FW46" s="18">
        <v>3.9399999999999998E-2</v>
      </c>
      <c r="FX46" s="18">
        <v>3.4000000000000002E-2</v>
      </c>
      <c r="FY46" s="18">
        <v>4.2500000000000003E-2</v>
      </c>
      <c r="FZ46" s="17">
        <v>4.0399999999999998E-2</v>
      </c>
      <c r="GA46" s="13">
        <v>3.8300000000000001E-2</v>
      </c>
      <c r="GB46" s="13">
        <v>3.56E-2</v>
      </c>
      <c r="GC46" s="13">
        <v>3.8300000000000001E-2</v>
      </c>
      <c r="GD46" s="13">
        <v>3.9699999999999999E-2</v>
      </c>
      <c r="GE46" s="13">
        <v>3.7699999999999997E-2</v>
      </c>
      <c r="GF46" s="13">
        <v>3.7499999999999999E-2</v>
      </c>
      <c r="GG46" s="18">
        <v>3.9E-2</v>
      </c>
      <c r="GH46" s="17">
        <v>2.8799999999999999E-2</v>
      </c>
      <c r="GI46" s="17">
        <v>3.4099999999999998E-2</v>
      </c>
      <c r="GJ46" s="13">
        <v>2.7E-2</v>
      </c>
      <c r="GK46" s="13">
        <v>2.7199999999999998E-2</v>
      </c>
      <c r="GL46" s="18">
        <v>2.7E-2</v>
      </c>
      <c r="GM46" s="18">
        <v>3.1699999999999999E-2</v>
      </c>
      <c r="GN46" s="17">
        <v>2.87E-2</v>
      </c>
      <c r="GO46" s="13">
        <v>2.4500000000000001E-2</v>
      </c>
      <c r="GP46" s="13">
        <v>3.1899999999999998E-2</v>
      </c>
      <c r="GQ46" s="13">
        <v>2.3900000000000001E-2</v>
      </c>
      <c r="GR46" s="16">
        <v>2.4899999999999999E-2</v>
      </c>
      <c r="GS46" s="15">
        <v>2.3099999999999999E-2</v>
      </c>
      <c r="GT46" s="14">
        <v>2.3199999999999998E-2</v>
      </c>
      <c r="GU46" s="13">
        <v>2.6599999999999999E-2</v>
      </c>
      <c r="GV46" s="16">
        <v>2.6700000000000002E-2</v>
      </c>
      <c r="GW46" s="15">
        <v>2.4500000000000001E-2</v>
      </c>
      <c r="GX46" s="14">
        <v>2.3599999999999999E-2</v>
      </c>
      <c r="GY46" s="13">
        <v>2.4500000000000001E-2</v>
      </c>
      <c r="GZ46" s="13">
        <v>2.4799999999999999E-2</v>
      </c>
      <c r="HA46" s="16">
        <v>3.2000000000000001E-2</v>
      </c>
      <c r="HB46" s="16">
        <v>3.8300000000000001E-2</v>
      </c>
      <c r="HC46" s="16">
        <v>4.3400000000000001E-2</v>
      </c>
      <c r="HD46" s="16">
        <v>4.7899999999999998E-2</v>
      </c>
      <c r="HE46" s="16">
        <v>6.0499999999999998E-2</v>
      </c>
      <c r="HF46" s="16">
        <v>6.6199999999999995E-2</v>
      </c>
      <c r="HG46" s="16">
        <v>7.7299999999999994E-2</v>
      </c>
      <c r="HH46" s="16">
        <v>8.5800000000000001E-2</v>
      </c>
      <c r="HI46" s="16">
        <v>8.9599999999999999E-2</v>
      </c>
      <c r="HJ46" s="16">
        <v>9.0700000000000003E-2</v>
      </c>
      <c r="HK46" s="16">
        <v>9.4600000000000004E-2</v>
      </c>
      <c r="HL46" s="14">
        <v>9.0999999999999998E-2</v>
      </c>
      <c r="HM46" s="14">
        <v>9.3799999999999994E-2</v>
      </c>
      <c r="HN46" s="14">
        <v>8.9700000000000002E-2</v>
      </c>
      <c r="HO46" s="14">
        <v>9.6600000000000005E-2</v>
      </c>
      <c r="HP46" s="14">
        <v>8.8900000000000007E-2</v>
      </c>
      <c r="HQ46" s="14">
        <v>9.3600000000000003E-2</v>
      </c>
      <c r="HR46" s="14">
        <v>9.1800000000000007E-2</v>
      </c>
      <c r="HS46" s="14">
        <v>9.7500000000000003E-2</v>
      </c>
      <c r="HT46" s="14">
        <v>9.2999999999999999E-2</v>
      </c>
      <c r="HU46" s="14">
        <v>9.1399999999999995E-2</v>
      </c>
      <c r="HV46" s="14">
        <v>8.9300000000000004E-2</v>
      </c>
      <c r="HW46" s="14">
        <v>8.3599999999999994E-2</v>
      </c>
      <c r="HX46" s="14">
        <v>7.9200000000000007E-2</v>
      </c>
      <c r="HY46" s="13">
        <v>8.0100000000000005E-2</v>
      </c>
      <c r="HZ46" s="16">
        <v>8.0399999999999999E-2</v>
      </c>
      <c r="IA46" s="14">
        <v>8.2500000000000004E-2</v>
      </c>
      <c r="IB46" s="14">
        <v>8.0699999999999994E-2</v>
      </c>
      <c r="IC46" s="13">
        <v>7.9299999999999995E-2</v>
      </c>
      <c r="ID46" s="13">
        <v>8.0799999999999997E-2</v>
      </c>
      <c r="IE46" s="16">
        <v>7.9699999999999993E-2</v>
      </c>
      <c r="IF46" s="15">
        <v>7.9299999999999995E-2</v>
      </c>
      <c r="IG46" s="15">
        <v>7.7299999999999994E-2</v>
      </c>
      <c r="IH46" s="15">
        <v>7.6300000000000007E-2</v>
      </c>
      <c r="II46" s="16">
        <v>7.6999999999999999E-2</v>
      </c>
      <c r="IJ46" s="16">
        <v>7.7700000000000005E-2</v>
      </c>
      <c r="IK46" s="16">
        <v>7.8E-2</v>
      </c>
      <c r="IL46" s="16">
        <v>7.8200000000000006E-2</v>
      </c>
      <c r="IM46" s="15">
        <v>7.9000000000000001E-2</v>
      </c>
      <c r="IN46" s="14">
        <v>7.8399999999999997E-2</v>
      </c>
      <c r="IO46" s="13">
        <v>7.9200000000000007E-2</v>
      </c>
      <c r="IP46" s="16">
        <v>7.51E-2</v>
      </c>
      <c r="IQ46" s="16">
        <v>7.5200000000000003E-2</v>
      </c>
      <c r="IR46" s="15">
        <v>7.3200000000000001E-2</v>
      </c>
      <c r="IS46" s="15">
        <v>7.0300000000000001E-2</v>
      </c>
      <c r="IT46" s="15">
        <v>7.2300000000000003E-2</v>
      </c>
      <c r="IU46" s="15">
        <v>6.8000000000000005E-2</v>
      </c>
      <c r="IV46" s="16">
        <v>6.7400000000000002E-2</v>
      </c>
      <c r="IW46" s="16">
        <v>6.1699999999999998E-2</v>
      </c>
      <c r="IX46" s="16">
        <v>5.9400000000000001E-2</v>
      </c>
      <c r="IY46" s="14">
        <v>5.74E-2</v>
      </c>
      <c r="IZ46" s="13">
        <v>5.5500000000000001E-2</v>
      </c>
      <c r="JA46" s="13">
        <v>5.57E-2</v>
      </c>
      <c r="JB46" s="13">
        <v>5.7299999999999997E-2</v>
      </c>
      <c r="JC46" s="15">
        <v>5.3999999999999999E-2</v>
      </c>
      <c r="JD46" s="14">
        <v>5.6099999999999997E-2</v>
      </c>
      <c r="JE46" s="13">
        <v>5.8000000000000003E-2</v>
      </c>
    </row>
    <row r="47" spans="1:265" ht="12.75" customHeight="1">
      <c r="A47" s="60"/>
      <c r="B47" s="60"/>
      <c r="C47" s="60"/>
      <c r="D47" s="29" t="s">
        <v>30</v>
      </c>
      <c r="E47" s="20">
        <v>45</v>
      </c>
      <c r="F47" s="19" t="s">
        <v>29</v>
      </c>
      <c r="G47" s="27">
        <v>7.4700000000000003E-2</v>
      </c>
      <c r="H47" s="27">
        <v>7.3200000000000001E-2</v>
      </c>
      <c r="I47" s="27">
        <v>7.4099999999999999E-2</v>
      </c>
      <c r="J47" s="27">
        <v>6.6000000000000003E-2</v>
      </c>
      <c r="K47" s="27">
        <v>6.6900000000000001E-2</v>
      </c>
      <c r="L47" s="27">
        <v>5.9400000000000001E-2</v>
      </c>
      <c r="M47" s="27">
        <v>5.6399999999999999E-2</v>
      </c>
      <c r="N47" s="27">
        <v>5.96E-2</v>
      </c>
      <c r="O47" s="27">
        <v>5.2999999999999999E-2</v>
      </c>
      <c r="P47" s="27">
        <v>5.33E-2</v>
      </c>
      <c r="Q47" s="27">
        <v>4.9799999999999997E-2</v>
      </c>
      <c r="R47" s="27">
        <v>5.5599999999999997E-2</v>
      </c>
      <c r="S47" s="27">
        <v>5.8299999999999998E-2</v>
      </c>
      <c r="T47" s="27">
        <v>4.5699999999999998E-2</v>
      </c>
      <c r="U47" s="27">
        <v>4.99E-2</v>
      </c>
      <c r="V47" s="27">
        <v>4.8399999999999999E-2</v>
      </c>
      <c r="W47" s="27">
        <v>5.2900000000000003E-2</v>
      </c>
      <c r="X47" s="27">
        <v>5.2299999999999999E-2</v>
      </c>
      <c r="Y47" s="27">
        <v>4.7800000000000002E-2</v>
      </c>
      <c r="Z47" s="27">
        <v>4.99E-2</v>
      </c>
      <c r="AA47" s="27">
        <v>4.6600000000000003E-2</v>
      </c>
      <c r="AB47" s="27">
        <v>5.3699999999999998E-2</v>
      </c>
      <c r="AC47" s="27">
        <v>4.9500000000000002E-2</v>
      </c>
      <c r="AD47" s="27">
        <v>5.04E-2</v>
      </c>
      <c r="AE47" s="27">
        <v>4.8000000000000001E-2</v>
      </c>
      <c r="AF47" s="27">
        <v>4.9399999999999999E-2</v>
      </c>
      <c r="AG47" s="27">
        <v>5.3600000000000002E-2</v>
      </c>
      <c r="AH47" s="27">
        <v>5.2600000000000001E-2</v>
      </c>
      <c r="AI47" s="27">
        <v>5.1799999999999999E-2</v>
      </c>
      <c r="AJ47" s="27">
        <v>5.4100000000000002E-2</v>
      </c>
      <c r="AK47" s="27">
        <v>5.8200000000000002E-2</v>
      </c>
      <c r="AL47" s="27">
        <v>5.3199999999999997E-2</v>
      </c>
      <c r="AM47" s="27">
        <v>5.8700000000000002E-2</v>
      </c>
      <c r="AN47" s="27">
        <v>5.91E-2</v>
      </c>
      <c r="AO47" s="27">
        <v>6.2399999999999997E-2</v>
      </c>
      <c r="AP47" s="27">
        <v>7.2099999999999997E-2</v>
      </c>
      <c r="AQ47" s="27">
        <v>6.8699999999999997E-2</v>
      </c>
      <c r="AR47" s="27">
        <v>6.9199999999999998E-2</v>
      </c>
      <c r="AS47" s="27">
        <v>6.6000000000000003E-2</v>
      </c>
      <c r="AT47" s="27">
        <v>7.0999999999999994E-2</v>
      </c>
      <c r="AU47" s="27">
        <v>6.9000000000000006E-2</v>
      </c>
      <c r="AV47" s="27">
        <v>7.7399999999999997E-2</v>
      </c>
      <c r="AW47" s="27">
        <v>8.1600000000000006E-2</v>
      </c>
      <c r="AX47" s="27">
        <v>8.5000000000000006E-2</v>
      </c>
      <c r="AY47" s="27">
        <v>8.43E-2</v>
      </c>
      <c r="AZ47" s="27">
        <v>7.6899999999999996E-2</v>
      </c>
      <c r="BA47" s="27">
        <v>8.1799999999999998E-2</v>
      </c>
      <c r="BB47" s="27">
        <v>7.7399999999999997E-2</v>
      </c>
      <c r="BC47" s="27">
        <v>6.6400000000000001E-2</v>
      </c>
      <c r="BD47" s="27">
        <v>7.0099999999999996E-2</v>
      </c>
      <c r="BE47" s="27">
        <v>7.0300000000000001E-2</v>
      </c>
      <c r="BF47" s="27">
        <v>6.0499999999999998E-2</v>
      </c>
      <c r="BG47" s="27">
        <v>6.6600000000000006E-2</v>
      </c>
      <c r="BH47" s="27">
        <v>7.1599999999999997E-2</v>
      </c>
      <c r="BI47" s="27">
        <v>7.5800000000000006E-2</v>
      </c>
      <c r="BJ47" s="27">
        <v>7.0099999999999996E-2</v>
      </c>
      <c r="BK47" s="27">
        <v>6.8599999999999994E-2</v>
      </c>
      <c r="BL47" s="27">
        <v>6.3E-2</v>
      </c>
      <c r="BM47" s="27">
        <v>6.3E-2</v>
      </c>
      <c r="BN47" s="27">
        <v>7.4999999999999997E-2</v>
      </c>
      <c r="BO47" s="27">
        <v>7.0300000000000001E-2</v>
      </c>
      <c r="BP47" s="27">
        <v>7.4099999999999999E-2</v>
      </c>
      <c r="BQ47" s="27">
        <v>6.4600000000000005E-2</v>
      </c>
      <c r="BR47" s="27">
        <v>6.4000000000000001E-2</v>
      </c>
      <c r="BS47" s="27">
        <v>6.3100000000000003E-2</v>
      </c>
      <c r="BT47" s="27">
        <v>7.3999999999999996E-2</v>
      </c>
      <c r="BU47" s="27">
        <v>7.7100000000000002E-2</v>
      </c>
      <c r="BV47" s="27">
        <v>7.8299999999999995E-2</v>
      </c>
      <c r="BW47" s="27">
        <v>6.0600000000000001E-2</v>
      </c>
      <c r="BX47" s="27">
        <v>6.9000000000000006E-2</v>
      </c>
      <c r="BY47" s="27">
        <v>7.51E-2</v>
      </c>
      <c r="BZ47" s="27">
        <v>6.6100000000000006E-2</v>
      </c>
      <c r="CA47" s="27" t="s">
        <v>25</v>
      </c>
      <c r="CB47" s="27" t="s">
        <v>25</v>
      </c>
      <c r="CC47" s="27" t="s">
        <v>25</v>
      </c>
      <c r="CD47" s="27" t="s">
        <v>25</v>
      </c>
      <c r="CE47" s="27">
        <v>7.2900000000000006E-2</v>
      </c>
      <c r="CF47" s="27" t="s">
        <v>25</v>
      </c>
      <c r="CG47" s="27">
        <v>7.7299999999999994E-2</v>
      </c>
      <c r="CH47" s="27">
        <v>7.5700000000000003E-2</v>
      </c>
      <c r="CI47" s="27">
        <v>7.4300000000000005E-2</v>
      </c>
      <c r="CJ47" s="27" t="s">
        <v>25</v>
      </c>
      <c r="CK47" s="27">
        <v>8.5800000000000001E-2</v>
      </c>
      <c r="CL47" s="27">
        <v>6.6900000000000001E-2</v>
      </c>
      <c r="CM47" s="27">
        <v>7.6300000000000007E-2</v>
      </c>
      <c r="CN47" s="27" t="s">
        <v>25</v>
      </c>
      <c r="CO47" s="27" t="s">
        <v>25</v>
      </c>
      <c r="CP47" s="27" t="s">
        <v>25</v>
      </c>
      <c r="CQ47" s="27">
        <v>7.3899999999999993E-2</v>
      </c>
      <c r="CR47" s="27" t="s">
        <v>25</v>
      </c>
      <c r="CS47" s="27">
        <v>6.9500000000000006E-2</v>
      </c>
      <c r="CT47" s="27">
        <v>8.0699999999999994E-2</v>
      </c>
      <c r="CU47" s="27">
        <v>7.3099999999999998E-2</v>
      </c>
      <c r="CV47" s="27">
        <v>7.5899999999999995E-2</v>
      </c>
      <c r="CW47" s="27">
        <v>7.1300000000000002E-2</v>
      </c>
      <c r="CX47" s="27">
        <v>7.0800000000000002E-2</v>
      </c>
      <c r="CY47" s="27" t="s">
        <v>25</v>
      </c>
      <c r="CZ47" s="27">
        <v>7.0400000000000004E-2</v>
      </c>
      <c r="DA47" s="27" t="s">
        <v>25</v>
      </c>
      <c r="DB47" s="27">
        <v>5.5800000000000002E-2</v>
      </c>
      <c r="DC47" s="27">
        <v>4.9000000000000002E-2</v>
      </c>
      <c r="DD47" s="27">
        <v>5.4199999999999998E-2</v>
      </c>
      <c r="DE47" s="27">
        <v>5.2900000000000003E-2</v>
      </c>
      <c r="DF47" s="27" t="s">
        <v>25</v>
      </c>
      <c r="DG47" s="27">
        <v>5.0099999999999999E-2</v>
      </c>
      <c r="DH47" s="27">
        <v>4.1599999999999998E-2</v>
      </c>
      <c r="DI47" s="27" t="s">
        <v>25</v>
      </c>
      <c r="DJ47" s="27" t="s">
        <v>25</v>
      </c>
      <c r="DK47" s="27">
        <v>4.8800000000000003E-2</v>
      </c>
      <c r="DL47" s="27">
        <v>5.4699999999999999E-2</v>
      </c>
      <c r="DM47" s="27" t="s">
        <v>25</v>
      </c>
      <c r="DN47" s="27" t="s">
        <v>25</v>
      </c>
      <c r="DO47" s="27">
        <v>4.3700000000000003E-2</v>
      </c>
      <c r="DP47" s="27" t="s">
        <v>25</v>
      </c>
      <c r="DQ47" s="27">
        <v>4.1000000000000002E-2</v>
      </c>
      <c r="DR47" s="27" t="s">
        <v>25</v>
      </c>
      <c r="DS47" s="27">
        <v>4.1300000000000003E-2</v>
      </c>
      <c r="DT47" s="27" t="s">
        <v>25</v>
      </c>
      <c r="DU47" s="27">
        <v>3.5900000000000001E-2</v>
      </c>
      <c r="DV47" s="27">
        <v>4.6199999999999998E-2</v>
      </c>
      <c r="DW47" s="27" t="s">
        <v>25</v>
      </c>
      <c r="DX47" s="27" t="s">
        <v>25</v>
      </c>
      <c r="DY47" s="27" t="s">
        <v>25</v>
      </c>
      <c r="DZ47" s="27" t="s">
        <v>25</v>
      </c>
      <c r="EA47" s="27">
        <v>4.2099999999999999E-2</v>
      </c>
      <c r="EB47" s="27">
        <v>3.9600000000000003E-2</v>
      </c>
      <c r="EC47" s="27" t="s">
        <v>25</v>
      </c>
      <c r="ED47" s="27">
        <v>3.8199999999999998E-2</v>
      </c>
      <c r="EE47" s="27" t="s">
        <v>25</v>
      </c>
      <c r="EF47" s="27" t="s">
        <v>25</v>
      </c>
      <c r="EG47" s="27">
        <v>3.7400000000000003E-2</v>
      </c>
      <c r="EH47" s="27">
        <v>4.5100000000000001E-2</v>
      </c>
      <c r="EI47" s="27" t="s">
        <v>25</v>
      </c>
      <c r="EJ47" s="27" t="s">
        <v>25</v>
      </c>
      <c r="EK47" s="27" t="s">
        <v>25</v>
      </c>
      <c r="EL47" s="27" t="s">
        <v>25</v>
      </c>
      <c r="EM47" s="27" t="s">
        <v>25</v>
      </c>
      <c r="EN47" s="27" t="s">
        <v>25</v>
      </c>
      <c r="EO47" s="27" t="s">
        <v>25</v>
      </c>
      <c r="EP47" s="27" t="s">
        <v>25</v>
      </c>
      <c r="EQ47" s="27">
        <v>2.86E-2</v>
      </c>
      <c r="ER47" s="27" t="s">
        <v>25</v>
      </c>
      <c r="ES47" s="27" t="s">
        <v>25</v>
      </c>
      <c r="ET47" s="27" t="s">
        <v>25</v>
      </c>
      <c r="EU47" s="27">
        <v>4.02E-2</v>
      </c>
      <c r="EV47" s="27" t="s">
        <v>25</v>
      </c>
      <c r="EW47" s="27">
        <v>3.1300000000000001E-2</v>
      </c>
      <c r="EX47" s="27" t="s">
        <v>25</v>
      </c>
      <c r="EY47" s="27" t="s">
        <v>25</v>
      </c>
      <c r="EZ47" s="27">
        <v>4.07E-2</v>
      </c>
      <c r="FA47" s="27">
        <v>4.0899999999999999E-2</v>
      </c>
      <c r="FB47" s="27" t="s">
        <v>25</v>
      </c>
      <c r="FC47" s="27">
        <v>4.7600000000000003E-2</v>
      </c>
      <c r="FD47" s="27" t="s">
        <v>25</v>
      </c>
      <c r="FE47" s="27" t="s">
        <v>25</v>
      </c>
      <c r="FF47" s="27" t="s">
        <v>25</v>
      </c>
      <c r="FG47" s="27" t="s">
        <v>25</v>
      </c>
      <c r="FH47" s="27" t="s">
        <v>25</v>
      </c>
      <c r="FI47" s="27" t="s">
        <v>25</v>
      </c>
      <c r="FJ47" s="27">
        <v>3.2500000000000001E-2</v>
      </c>
      <c r="FK47" s="27" t="s">
        <v>25</v>
      </c>
      <c r="FL47" s="27">
        <v>3.1699999999999999E-2</v>
      </c>
      <c r="FM47" s="27">
        <v>3.5000000000000003E-2</v>
      </c>
      <c r="FN47" s="27">
        <v>3.4000000000000002E-2</v>
      </c>
      <c r="FO47" s="27">
        <v>3.4000000000000002E-2</v>
      </c>
      <c r="FP47" s="27" t="s">
        <v>25</v>
      </c>
      <c r="FQ47" s="27" t="s">
        <v>25</v>
      </c>
      <c r="FR47" s="27">
        <v>3.5799999999999998E-2</v>
      </c>
      <c r="FS47" s="27" t="s">
        <v>25</v>
      </c>
      <c r="FT47" s="27">
        <v>3.9600000000000003E-2</v>
      </c>
      <c r="FU47" s="27" t="s">
        <v>25</v>
      </c>
      <c r="FV47" s="27" t="s">
        <v>25</v>
      </c>
      <c r="FW47" s="27" t="s">
        <v>25</v>
      </c>
      <c r="FX47" s="27">
        <v>3.85E-2</v>
      </c>
      <c r="FY47" s="27" t="s">
        <v>25</v>
      </c>
      <c r="FZ47" s="26" t="s">
        <v>25</v>
      </c>
      <c r="GA47" s="22" t="s">
        <v>25</v>
      </c>
      <c r="GB47" s="22">
        <v>3.4799999999999998E-2</v>
      </c>
      <c r="GC47" s="22">
        <v>4.1399999999999999E-2</v>
      </c>
      <c r="GD47" s="22" t="s">
        <v>25</v>
      </c>
      <c r="GE47" s="22">
        <v>3.9300000000000002E-2</v>
      </c>
      <c r="GF47" s="22">
        <v>2.93E-2</v>
      </c>
      <c r="GG47" s="27" t="s">
        <v>25</v>
      </c>
      <c r="GH47" s="26">
        <v>2.64E-2</v>
      </c>
      <c r="GI47" s="26" t="s">
        <v>25</v>
      </c>
      <c r="GJ47" s="22">
        <v>2.9899999999999999E-2</v>
      </c>
      <c r="GK47" s="22" t="s">
        <v>25</v>
      </c>
      <c r="GL47" s="27">
        <v>2.3900000000000001E-2</v>
      </c>
      <c r="GM47" s="27">
        <v>2.5899999999999999E-2</v>
      </c>
      <c r="GN47" s="26" t="s">
        <v>25</v>
      </c>
      <c r="GO47" s="22" t="s">
        <v>25</v>
      </c>
      <c r="GP47" s="22">
        <v>2.5000000000000001E-2</v>
      </c>
      <c r="GQ47" s="22" t="s">
        <v>25</v>
      </c>
      <c r="GR47" s="25">
        <v>2.93E-2</v>
      </c>
      <c r="GS47" s="24" t="s">
        <v>25</v>
      </c>
      <c r="GT47" s="23">
        <v>3.6700000000000003E-2</v>
      </c>
      <c r="GU47" s="22" t="s">
        <v>25</v>
      </c>
      <c r="GV47" s="25">
        <v>3.1099999999999999E-2</v>
      </c>
      <c r="GW47" s="24" t="s">
        <v>25</v>
      </c>
      <c r="GX47" s="23" t="s">
        <v>25</v>
      </c>
      <c r="GY47" s="22" t="s">
        <v>25</v>
      </c>
      <c r="GZ47" s="22" t="s">
        <v>25</v>
      </c>
      <c r="HA47" s="25" t="s">
        <v>25</v>
      </c>
      <c r="HB47" s="25" t="s">
        <v>25</v>
      </c>
      <c r="HC47" s="25">
        <v>4.6399999999999997E-2</v>
      </c>
      <c r="HD47" s="25" t="s">
        <v>25</v>
      </c>
      <c r="HE47" s="25" t="s">
        <v>25</v>
      </c>
      <c r="HF47" s="25">
        <v>8.0799999999999997E-2</v>
      </c>
      <c r="HG47" s="25">
        <v>7.9000000000000001E-2</v>
      </c>
      <c r="HH47" s="25" t="s">
        <v>25</v>
      </c>
      <c r="HI47" s="25" t="s">
        <v>25</v>
      </c>
      <c r="HJ47" s="25" t="s">
        <v>25</v>
      </c>
      <c r="HK47" s="25">
        <v>9.7600000000000006E-2</v>
      </c>
      <c r="HL47" s="23" t="s">
        <v>25</v>
      </c>
      <c r="HM47" s="23" t="s">
        <v>25</v>
      </c>
      <c r="HN47" s="23" t="s">
        <v>25</v>
      </c>
      <c r="HO47" s="23" t="s">
        <v>25</v>
      </c>
      <c r="HP47" s="23" t="s">
        <v>25</v>
      </c>
      <c r="HQ47" s="23">
        <v>9.3600000000000003E-2</v>
      </c>
      <c r="HR47" s="23" t="s">
        <v>25</v>
      </c>
      <c r="HS47" s="23" t="s">
        <v>25</v>
      </c>
      <c r="HT47" s="23" t="s">
        <v>25</v>
      </c>
      <c r="HU47" s="23" t="s">
        <v>25</v>
      </c>
      <c r="HV47" s="23" t="s">
        <v>25</v>
      </c>
      <c r="HW47" s="23">
        <v>8.3900000000000002E-2</v>
      </c>
      <c r="HX47" s="23">
        <v>7.6899999999999996E-2</v>
      </c>
      <c r="HY47" s="22" t="s">
        <v>25</v>
      </c>
      <c r="HZ47" s="25" t="s">
        <v>25</v>
      </c>
      <c r="IA47" s="23" t="s">
        <v>25</v>
      </c>
      <c r="IB47" s="23" t="s">
        <v>25</v>
      </c>
      <c r="IC47" s="22">
        <v>8.6199999999999999E-2</v>
      </c>
      <c r="ID47" s="22" t="s">
        <v>25</v>
      </c>
      <c r="IE47" s="25" t="s">
        <v>25</v>
      </c>
      <c r="IF47" s="24">
        <v>7.5300000000000006E-2</v>
      </c>
      <c r="IG47" s="24" t="s">
        <v>25</v>
      </c>
      <c r="IH47" s="24" t="s">
        <v>25</v>
      </c>
      <c r="II47" s="25">
        <v>8.5800000000000001E-2</v>
      </c>
      <c r="IJ47" s="25" t="s">
        <v>25</v>
      </c>
      <c r="IK47" s="25" t="s">
        <v>25</v>
      </c>
      <c r="IL47" s="25">
        <v>7.85E-2</v>
      </c>
      <c r="IM47" s="24" t="s">
        <v>25</v>
      </c>
      <c r="IN47" s="23" t="s">
        <v>25</v>
      </c>
      <c r="IO47" s="22" t="s">
        <v>25</v>
      </c>
      <c r="IP47" s="25" t="s">
        <v>25</v>
      </c>
      <c r="IQ47" s="25" t="s">
        <v>25</v>
      </c>
      <c r="IR47" s="24">
        <v>7.0300000000000001E-2</v>
      </c>
      <c r="IS47" s="24" t="s">
        <v>25</v>
      </c>
      <c r="IT47" s="24" t="s">
        <v>25</v>
      </c>
      <c r="IU47" s="24" t="s">
        <v>25</v>
      </c>
      <c r="IV47" s="25" t="s">
        <v>25</v>
      </c>
      <c r="IW47" s="25" t="s">
        <v>25</v>
      </c>
      <c r="IX47" s="25" t="s">
        <v>25</v>
      </c>
      <c r="IY47" s="23">
        <v>5.4399999999999997E-2</v>
      </c>
      <c r="IZ47" s="22" t="s">
        <v>25</v>
      </c>
      <c r="JA47" s="22" t="s">
        <v>25</v>
      </c>
      <c r="JB47" s="22">
        <v>5.04E-2</v>
      </c>
      <c r="JC47" s="24" t="s">
        <v>25</v>
      </c>
      <c r="JD47" s="23" t="s">
        <v>25</v>
      </c>
      <c r="JE47" s="22" t="s">
        <v>25</v>
      </c>
    </row>
    <row r="48" spans="1:265" ht="12.75" customHeight="1">
      <c r="A48" s="60"/>
      <c r="B48" s="60"/>
      <c r="C48" s="60"/>
      <c r="D48" s="29" t="s">
        <v>28</v>
      </c>
      <c r="E48" s="20">
        <v>46</v>
      </c>
      <c r="F48" s="19" t="s">
        <v>27</v>
      </c>
      <c r="G48" s="18">
        <v>7.5600000000000001E-2</v>
      </c>
      <c r="H48" s="18">
        <v>7.0900000000000005E-2</v>
      </c>
      <c r="I48" s="18">
        <v>7.0499999999999993E-2</v>
      </c>
      <c r="J48" s="18">
        <v>7.5800000000000006E-2</v>
      </c>
      <c r="K48" s="18">
        <v>6.9800000000000001E-2</v>
      </c>
      <c r="L48" s="18">
        <v>6.54E-2</v>
      </c>
      <c r="M48" s="18">
        <v>7.0099999999999996E-2</v>
      </c>
      <c r="N48" s="18">
        <v>6.2300000000000001E-2</v>
      </c>
      <c r="O48" s="18">
        <v>6.9099999999999995E-2</v>
      </c>
      <c r="P48" s="18">
        <v>6.3899999999999998E-2</v>
      </c>
      <c r="Q48" s="18">
        <v>6.4500000000000002E-2</v>
      </c>
      <c r="R48" s="18">
        <v>6.6000000000000003E-2</v>
      </c>
      <c r="S48" s="18">
        <v>5.3100000000000001E-2</v>
      </c>
      <c r="T48" s="18">
        <v>4.2500000000000003E-2</v>
      </c>
      <c r="U48" s="18">
        <v>6.8900000000000003E-2</v>
      </c>
      <c r="V48" s="18">
        <v>5.5300000000000002E-2</v>
      </c>
      <c r="W48" s="18" t="s">
        <v>26</v>
      </c>
      <c r="X48" s="18">
        <v>5.1799999999999999E-2</v>
      </c>
      <c r="Y48" s="18">
        <v>6.0299999999999999E-2</v>
      </c>
      <c r="Z48" s="18">
        <v>6.4799999999999996E-2</v>
      </c>
      <c r="AA48" s="18" t="s">
        <v>26</v>
      </c>
      <c r="AB48" s="18">
        <v>5.3800000000000001E-2</v>
      </c>
      <c r="AC48" s="18">
        <v>5.8500000000000003E-2</v>
      </c>
      <c r="AD48" s="18">
        <v>4.3400000000000001E-2</v>
      </c>
      <c r="AE48" s="18">
        <v>6.4299999999999996E-2</v>
      </c>
      <c r="AF48" s="18">
        <v>5.33E-2</v>
      </c>
      <c r="AG48" s="18" t="s">
        <v>26</v>
      </c>
      <c r="AH48" s="18">
        <v>6.6699999999999995E-2</v>
      </c>
      <c r="AI48" s="18">
        <v>6.4199999999999993E-2</v>
      </c>
      <c r="AJ48" s="18" t="s">
        <v>26</v>
      </c>
      <c r="AK48" s="18">
        <v>5.9400000000000001E-2</v>
      </c>
      <c r="AL48" s="18">
        <v>5.6599999999999998E-2</v>
      </c>
      <c r="AM48" s="18">
        <v>6.59E-2</v>
      </c>
      <c r="AN48" s="18">
        <v>5.9900000000000002E-2</v>
      </c>
      <c r="AO48" s="18" t="s">
        <v>26</v>
      </c>
      <c r="AP48" s="18">
        <v>5.9400000000000001E-2</v>
      </c>
      <c r="AQ48" s="18">
        <v>7.1999999999999995E-2</v>
      </c>
      <c r="AR48" s="18">
        <v>7.6600000000000001E-2</v>
      </c>
      <c r="AS48" s="18" t="s">
        <v>26</v>
      </c>
      <c r="AT48" s="18">
        <v>9.8400000000000001E-2</v>
      </c>
      <c r="AU48" s="18" t="s">
        <v>26</v>
      </c>
      <c r="AV48" s="18">
        <v>6.9000000000000006E-2</v>
      </c>
      <c r="AW48" s="18">
        <v>7.8899999999999998E-2</v>
      </c>
      <c r="AX48" s="18" t="s">
        <v>26</v>
      </c>
      <c r="AY48" s="18">
        <v>7.4099999999999999E-2</v>
      </c>
      <c r="AZ48" s="18">
        <v>7.9600000000000004E-2</v>
      </c>
      <c r="BA48" s="18">
        <v>8.4400000000000003E-2</v>
      </c>
      <c r="BB48" s="18" t="s">
        <v>26</v>
      </c>
      <c r="BC48" s="18" t="s">
        <v>26</v>
      </c>
      <c r="BD48" s="18" t="s">
        <v>26</v>
      </c>
      <c r="BE48" s="18">
        <v>6.0600000000000001E-2</v>
      </c>
      <c r="BF48" s="18">
        <v>8.3000000000000004E-2</v>
      </c>
      <c r="BG48" s="18">
        <v>6.1600000000000002E-2</v>
      </c>
      <c r="BH48" s="18">
        <v>6.7400000000000002E-2</v>
      </c>
      <c r="BI48" s="18">
        <v>8.5300000000000001E-2</v>
      </c>
      <c r="BJ48" s="18">
        <v>6.93E-2</v>
      </c>
      <c r="BK48" s="18">
        <v>5.4399999999999997E-2</v>
      </c>
      <c r="BL48" s="18">
        <v>6.2899999999999998E-2</v>
      </c>
      <c r="BM48" s="18">
        <v>6.8599999999999994E-2</v>
      </c>
      <c r="BN48" s="18">
        <v>6.7799999999999999E-2</v>
      </c>
      <c r="BO48" s="18">
        <v>7.2900000000000006E-2</v>
      </c>
      <c r="BP48" s="18">
        <v>7.1800000000000003E-2</v>
      </c>
      <c r="BQ48" s="18">
        <v>7.0999999999999994E-2</v>
      </c>
      <c r="BR48" s="18">
        <v>7.1599999999999997E-2</v>
      </c>
      <c r="BS48" s="18">
        <v>6.93E-2</v>
      </c>
      <c r="BT48" s="18">
        <v>7.3400000000000007E-2</v>
      </c>
      <c r="BU48" s="18">
        <v>6.6500000000000004E-2</v>
      </c>
      <c r="BV48" s="18">
        <v>5.1400000000000001E-2</v>
      </c>
      <c r="BW48" s="18">
        <v>5.04E-2</v>
      </c>
      <c r="BX48" s="18">
        <v>5.5599999999999997E-2</v>
      </c>
      <c r="BY48" s="18">
        <v>6.1199999999999997E-2</v>
      </c>
      <c r="BZ48" s="18">
        <v>5.9499999999999997E-2</v>
      </c>
      <c r="CA48" s="18" t="s">
        <v>25</v>
      </c>
      <c r="CB48" s="18" t="s">
        <v>25</v>
      </c>
      <c r="CC48" s="18" t="s">
        <v>25</v>
      </c>
      <c r="CD48" s="18" t="s">
        <v>25</v>
      </c>
      <c r="CE48" s="18" t="s">
        <v>25</v>
      </c>
      <c r="CF48" s="18" t="s">
        <v>25</v>
      </c>
      <c r="CG48" s="18" t="s">
        <v>25</v>
      </c>
      <c r="CH48" s="18" t="s">
        <v>25</v>
      </c>
      <c r="CI48" s="18" t="s">
        <v>25</v>
      </c>
      <c r="CJ48" s="18" t="s">
        <v>25</v>
      </c>
      <c r="CK48" s="18" t="s">
        <v>25</v>
      </c>
      <c r="CL48" s="18" t="s">
        <v>25</v>
      </c>
      <c r="CM48" s="18" t="s">
        <v>25</v>
      </c>
      <c r="CN48" s="18" t="s">
        <v>25</v>
      </c>
      <c r="CO48" s="18" t="s">
        <v>25</v>
      </c>
      <c r="CP48" s="18" t="s">
        <v>25</v>
      </c>
      <c r="CQ48" s="18" t="s">
        <v>25</v>
      </c>
      <c r="CR48" s="18" t="s">
        <v>25</v>
      </c>
      <c r="CS48" s="18" t="s">
        <v>25</v>
      </c>
      <c r="CT48" s="18" t="s">
        <v>25</v>
      </c>
      <c r="CU48" s="18" t="s">
        <v>25</v>
      </c>
      <c r="CV48" s="18" t="s">
        <v>25</v>
      </c>
      <c r="CW48" s="18" t="s">
        <v>25</v>
      </c>
      <c r="CX48" s="18" t="s">
        <v>25</v>
      </c>
      <c r="CY48" s="18" t="s">
        <v>25</v>
      </c>
      <c r="CZ48" s="18" t="s">
        <v>25</v>
      </c>
      <c r="DA48" s="18" t="s">
        <v>25</v>
      </c>
      <c r="DB48" s="18" t="s">
        <v>25</v>
      </c>
      <c r="DC48" s="18" t="s">
        <v>25</v>
      </c>
      <c r="DD48" s="18" t="s">
        <v>25</v>
      </c>
      <c r="DE48" s="18" t="s">
        <v>25</v>
      </c>
      <c r="DF48" s="18" t="s">
        <v>25</v>
      </c>
      <c r="DG48" s="18">
        <v>5.0200000000000002E-2</v>
      </c>
      <c r="DH48" s="18" t="s">
        <v>25</v>
      </c>
      <c r="DI48" s="18" t="s">
        <v>25</v>
      </c>
      <c r="DJ48" s="18" t="s">
        <v>25</v>
      </c>
      <c r="DK48" s="18" t="s">
        <v>25</v>
      </c>
      <c r="DL48" s="18" t="s">
        <v>25</v>
      </c>
      <c r="DM48" s="18">
        <v>5.2499999999999998E-2</v>
      </c>
      <c r="DN48" s="18" t="s">
        <v>25</v>
      </c>
      <c r="DO48" s="18">
        <v>4.1200000000000001E-2</v>
      </c>
      <c r="DP48" s="18" t="s">
        <v>25</v>
      </c>
      <c r="DQ48" s="18" t="s">
        <v>25</v>
      </c>
      <c r="DR48" s="18" t="s">
        <v>25</v>
      </c>
      <c r="DS48" s="18" t="s">
        <v>25</v>
      </c>
      <c r="DT48" s="18" t="s">
        <v>25</v>
      </c>
      <c r="DU48" s="18" t="s">
        <v>25</v>
      </c>
      <c r="DV48" s="18" t="s">
        <v>25</v>
      </c>
      <c r="DW48" s="18" t="s">
        <v>25</v>
      </c>
      <c r="DX48" s="18" t="s">
        <v>25</v>
      </c>
      <c r="DY48" s="18" t="s">
        <v>25</v>
      </c>
      <c r="DZ48" s="18" t="s">
        <v>25</v>
      </c>
      <c r="EA48" s="18" t="s">
        <v>25</v>
      </c>
      <c r="EB48" s="18" t="s">
        <v>25</v>
      </c>
      <c r="EC48" s="18" t="s">
        <v>25</v>
      </c>
      <c r="ED48" s="18" t="s">
        <v>25</v>
      </c>
      <c r="EE48" s="18">
        <v>4.1000000000000002E-2</v>
      </c>
      <c r="EF48" s="18" t="s">
        <v>25</v>
      </c>
      <c r="EG48" s="18" t="s">
        <v>25</v>
      </c>
      <c r="EH48" s="18" t="s">
        <v>25</v>
      </c>
      <c r="EI48" s="18" t="s">
        <v>25</v>
      </c>
      <c r="EJ48" s="18" t="s">
        <v>25</v>
      </c>
      <c r="EK48" s="18" t="s">
        <v>25</v>
      </c>
      <c r="EL48" s="18" t="s">
        <v>25</v>
      </c>
      <c r="EM48" s="18" t="s">
        <v>25</v>
      </c>
      <c r="EN48" s="18" t="s">
        <v>25</v>
      </c>
      <c r="EO48" s="18" t="s">
        <v>25</v>
      </c>
      <c r="EP48" s="18" t="s">
        <v>25</v>
      </c>
      <c r="EQ48" s="18" t="s">
        <v>25</v>
      </c>
      <c r="ER48" s="18" t="s">
        <v>25</v>
      </c>
      <c r="ES48" s="18" t="s">
        <v>25</v>
      </c>
      <c r="ET48" s="18" t="s">
        <v>25</v>
      </c>
      <c r="EU48" s="18" t="s">
        <v>25</v>
      </c>
      <c r="EV48" s="18">
        <v>4.3099999999999999E-2</v>
      </c>
      <c r="EW48" s="18" t="s">
        <v>25</v>
      </c>
      <c r="EX48" s="18" t="s">
        <v>25</v>
      </c>
      <c r="EY48" s="18" t="s">
        <v>25</v>
      </c>
      <c r="EZ48" s="18" t="s">
        <v>25</v>
      </c>
      <c r="FA48" s="18">
        <v>3.2899999999999999E-2</v>
      </c>
      <c r="FB48" s="18" t="s">
        <v>25</v>
      </c>
      <c r="FC48" s="18" t="s">
        <v>25</v>
      </c>
      <c r="FD48" s="18" t="s">
        <v>25</v>
      </c>
      <c r="FE48" s="18" t="s">
        <v>25</v>
      </c>
      <c r="FF48" s="18" t="s">
        <v>25</v>
      </c>
      <c r="FG48" s="18" t="s">
        <v>25</v>
      </c>
      <c r="FH48" s="18" t="s">
        <v>25</v>
      </c>
      <c r="FI48" s="18" t="s">
        <v>25</v>
      </c>
      <c r="FJ48" s="18" t="s">
        <v>25</v>
      </c>
      <c r="FK48" s="18" t="s">
        <v>25</v>
      </c>
      <c r="FL48" s="18" t="s">
        <v>25</v>
      </c>
      <c r="FM48" s="18" t="s">
        <v>25</v>
      </c>
      <c r="FN48" s="18" t="s">
        <v>25</v>
      </c>
      <c r="FO48" s="18" t="s">
        <v>25</v>
      </c>
      <c r="FP48" s="18" t="s">
        <v>25</v>
      </c>
      <c r="FQ48" s="18" t="s">
        <v>25</v>
      </c>
      <c r="FR48" s="18" t="s">
        <v>25</v>
      </c>
      <c r="FS48" s="18" t="s">
        <v>25</v>
      </c>
      <c r="FT48" s="18" t="s">
        <v>25</v>
      </c>
      <c r="FU48" s="18" t="s">
        <v>25</v>
      </c>
      <c r="FV48" s="18" t="s">
        <v>25</v>
      </c>
      <c r="FW48" s="18" t="s">
        <v>25</v>
      </c>
      <c r="FX48" s="18" t="s">
        <v>25</v>
      </c>
      <c r="FY48" s="18" t="s">
        <v>25</v>
      </c>
      <c r="FZ48" s="17" t="s">
        <v>25</v>
      </c>
      <c r="GA48" s="13" t="s">
        <v>25</v>
      </c>
      <c r="GB48" s="13" t="s">
        <v>25</v>
      </c>
      <c r="GC48" s="13" t="s">
        <v>25</v>
      </c>
      <c r="GD48" s="13" t="s">
        <v>25</v>
      </c>
      <c r="GE48" s="13" t="s">
        <v>25</v>
      </c>
      <c r="GF48" s="13" t="s">
        <v>25</v>
      </c>
      <c r="GG48" s="18" t="s">
        <v>25</v>
      </c>
      <c r="GH48" s="17" t="s">
        <v>25</v>
      </c>
      <c r="GI48" s="17" t="s">
        <v>25</v>
      </c>
      <c r="GJ48" s="13" t="s">
        <v>25</v>
      </c>
      <c r="GK48" s="13" t="s">
        <v>25</v>
      </c>
      <c r="GL48" s="18">
        <v>2.41E-2</v>
      </c>
      <c r="GM48" s="18" t="s">
        <v>25</v>
      </c>
      <c r="GN48" s="17" t="s">
        <v>25</v>
      </c>
      <c r="GO48" s="13" t="s">
        <v>25</v>
      </c>
      <c r="GP48" s="13" t="s">
        <v>25</v>
      </c>
      <c r="GQ48" s="13" t="s">
        <v>25</v>
      </c>
      <c r="GR48" s="16" t="s">
        <v>26</v>
      </c>
      <c r="GS48" s="15" t="s">
        <v>25</v>
      </c>
      <c r="GT48" s="14" t="s">
        <v>25</v>
      </c>
      <c r="GU48" s="13" t="s">
        <v>25</v>
      </c>
      <c r="GV48" s="16" t="s">
        <v>25</v>
      </c>
      <c r="GW48" s="15" t="s">
        <v>25</v>
      </c>
      <c r="GX48" s="14">
        <v>2.58E-2</v>
      </c>
      <c r="GY48" s="13" t="s">
        <v>25</v>
      </c>
      <c r="GZ48" s="13" t="s">
        <v>25</v>
      </c>
      <c r="HA48" s="16" t="s">
        <v>25</v>
      </c>
      <c r="HB48" s="16" t="s">
        <v>25</v>
      </c>
      <c r="HC48" s="16" t="s">
        <v>25</v>
      </c>
      <c r="HD48" s="16" t="s">
        <v>25</v>
      </c>
      <c r="HE48" s="16" t="s">
        <v>25</v>
      </c>
      <c r="HF48" s="16" t="s">
        <v>25</v>
      </c>
      <c r="HG48" s="16" t="s">
        <v>25</v>
      </c>
      <c r="HH48" s="16" t="s">
        <v>25</v>
      </c>
      <c r="HI48" s="16" t="s">
        <v>26</v>
      </c>
      <c r="HJ48" s="16" t="s">
        <v>25</v>
      </c>
      <c r="HK48" s="16" t="s">
        <v>26</v>
      </c>
      <c r="HL48" s="14" t="s">
        <v>25</v>
      </c>
      <c r="HM48" s="14" t="s">
        <v>25</v>
      </c>
      <c r="HN48" s="14" t="s">
        <v>25</v>
      </c>
      <c r="HO48" s="14" t="s">
        <v>25</v>
      </c>
      <c r="HP48" s="14" t="s">
        <v>25</v>
      </c>
      <c r="HQ48" s="14" t="s">
        <v>25</v>
      </c>
      <c r="HR48" s="14" t="s">
        <v>25</v>
      </c>
      <c r="HS48" s="14" t="s">
        <v>25</v>
      </c>
      <c r="HT48" s="14" t="s">
        <v>25</v>
      </c>
      <c r="HU48" s="14" t="s">
        <v>25</v>
      </c>
      <c r="HV48" s="14" t="s">
        <v>25</v>
      </c>
      <c r="HW48" s="14" t="s">
        <v>25</v>
      </c>
      <c r="HX48" s="14">
        <v>7.7700000000000005E-2</v>
      </c>
      <c r="HY48" s="13" t="s">
        <v>25</v>
      </c>
      <c r="HZ48" s="16">
        <v>6.7000000000000004E-2</v>
      </c>
      <c r="IA48" s="14" t="s">
        <v>25</v>
      </c>
      <c r="IB48" s="14" t="s">
        <v>25</v>
      </c>
      <c r="IC48" s="13" t="s">
        <v>25</v>
      </c>
      <c r="ID48" s="13" t="s">
        <v>25</v>
      </c>
      <c r="IE48" s="16">
        <v>7.2999999999999995E-2</v>
      </c>
      <c r="IF48" s="15">
        <v>7.4099999999999999E-2</v>
      </c>
      <c r="IG48" s="15" t="s">
        <v>25</v>
      </c>
      <c r="IH48" s="15" t="s">
        <v>25</v>
      </c>
      <c r="II48" s="16" t="s">
        <v>25</v>
      </c>
      <c r="IJ48" s="16" t="s">
        <v>26</v>
      </c>
      <c r="IK48" s="16" t="s">
        <v>26</v>
      </c>
      <c r="IL48" s="16" t="s">
        <v>26</v>
      </c>
      <c r="IM48" s="15" t="s">
        <v>25</v>
      </c>
      <c r="IN48" s="14" t="s">
        <v>25</v>
      </c>
      <c r="IO48" s="13">
        <v>6.3200000000000006E-2</v>
      </c>
      <c r="IP48" s="16">
        <v>5.3199999999999997E-2</v>
      </c>
      <c r="IQ48" s="16" t="s">
        <v>25</v>
      </c>
      <c r="IR48" s="15" t="s">
        <v>25</v>
      </c>
      <c r="IS48" s="15" t="s">
        <v>26</v>
      </c>
      <c r="IT48" s="15" t="s">
        <v>25</v>
      </c>
      <c r="IU48" s="15" t="s">
        <v>25</v>
      </c>
      <c r="IV48" s="16" t="s">
        <v>25</v>
      </c>
      <c r="IW48" s="16" t="s">
        <v>25</v>
      </c>
      <c r="IX48" s="16">
        <v>5.04E-2</v>
      </c>
      <c r="IY48" s="14" t="s">
        <v>25</v>
      </c>
      <c r="IZ48" s="13" t="s">
        <v>25</v>
      </c>
      <c r="JA48" s="13" t="s">
        <v>25</v>
      </c>
      <c r="JB48" s="13" t="s">
        <v>25</v>
      </c>
      <c r="JC48" s="15">
        <v>5.6399999999999999E-2</v>
      </c>
      <c r="JD48" s="14" t="s">
        <v>25</v>
      </c>
      <c r="JE48" s="13" t="s">
        <v>25</v>
      </c>
    </row>
    <row r="49" spans="1:265" ht="12.75" customHeight="1">
      <c r="A49" s="60"/>
      <c r="B49" s="60"/>
      <c r="C49" s="60"/>
      <c r="D49" s="21" t="s">
        <v>19</v>
      </c>
      <c r="E49" s="20">
        <v>47</v>
      </c>
      <c r="F49" s="19" t="s">
        <v>24</v>
      </c>
      <c r="G49" s="27">
        <v>8.0699999999999994E-2</v>
      </c>
      <c r="H49" s="27">
        <v>7.6999999999999999E-2</v>
      </c>
      <c r="I49" s="27">
        <v>7.4700000000000003E-2</v>
      </c>
      <c r="J49" s="27">
        <v>6.7900000000000002E-2</v>
      </c>
      <c r="K49" s="27">
        <v>6.8000000000000005E-2</v>
      </c>
      <c r="L49" s="27">
        <v>6.4899999999999999E-2</v>
      </c>
      <c r="M49" s="27">
        <v>6.1100000000000002E-2</v>
      </c>
      <c r="N49" s="27">
        <v>6.2199999999999998E-2</v>
      </c>
      <c r="O49" s="27">
        <v>6.3200000000000006E-2</v>
      </c>
      <c r="P49" s="27">
        <v>6.9800000000000001E-2</v>
      </c>
      <c r="Q49" s="27">
        <v>5.91E-2</v>
      </c>
      <c r="R49" s="27">
        <v>6.25E-2</v>
      </c>
      <c r="S49" s="27">
        <v>5.79E-2</v>
      </c>
      <c r="T49" s="27">
        <v>5.2699999999999997E-2</v>
      </c>
      <c r="U49" s="27">
        <v>5.5800000000000002E-2</v>
      </c>
      <c r="V49" s="27">
        <v>5.67E-2</v>
      </c>
      <c r="W49" s="27">
        <v>5.4600000000000003E-2</v>
      </c>
      <c r="X49" s="27">
        <v>5.4600000000000003E-2</v>
      </c>
      <c r="Y49" s="27">
        <v>5.4300000000000001E-2</v>
      </c>
      <c r="Z49" s="27">
        <v>5.5800000000000002E-2</v>
      </c>
      <c r="AA49" s="27">
        <v>5.5800000000000002E-2</v>
      </c>
      <c r="AB49" s="27">
        <v>5.5199999999999999E-2</v>
      </c>
      <c r="AC49" s="27">
        <v>5.67E-2</v>
      </c>
      <c r="AD49" s="27">
        <v>5.3900000000000003E-2</v>
      </c>
      <c r="AE49" s="27">
        <v>5.6500000000000002E-2</v>
      </c>
      <c r="AF49" s="27">
        <v>5.7000000000000002E-2</v>
      </c>
      <c r="AG49" s="27">
        <v>5.5599999999999997E-2</v>
      </c>
      <c r="AH49" s="27">
        <v>5.8200000000000002E-2</v>
      </c>
      <c r="AI49" s="27">
        <v>5.79E-2</v>
      </c>
      <c r="AJ49" s="27">
        <v>5.8799999999999998E-2</v>
      </c>
      <c r="AK49" s="27">
        <v>6.2700000000000006E-2</v>
      </c>
      <c r="AL49" s="27">
        <v>6.0999999999999999E-2</v>
      </c>
      <c r="AM49" s="27">
        <v>6.5199999999999994E-2</v>
      </c>
      <c r="AN49" s="27">
        <v>6.2600000000000003E-2</v>
      </c>
      <c r="AO49" s="27">
        <v>6.5600000000000006E-2</v>
      </c>
      <c r="AP49" s="27">
        <v>7.1900000000000006E-2</v>
      </c>
      <c r="AQ49" s="27">
        <v>6.8500000000000005E-2</v>
      </c>
      <c r="AR49" s="27">
        <v>7.1400000000000005E-2</v>
      </c>
      <c r="AS49" s="27">
        <v>7.2499999999999995E-2</v>
      </c>
      <c r="AT49" s="27">
        <v>7.7600000000000002E-2</v>
      </c>
      <c r="AU49" s="27">
        <v>7.6499999999999999E-2</v>
      </c>
      <c r="AV49" s="27">
        <v>8.3000000000000004E-2</v>
      </c>
      <c r="AW49" s="27">
        <v>8.0600000000000005E-2</v>
      </c>
      <c r="AX49" s="27">
        <v>8.1100000000000005E-2</v>
      </c>
      <c r="AY49" s="27">
        <v>8.3099999999999993E-2</v>
      </c>
      <c r="AZ49" s="27">
        <v>8.2400000000000001E-2</v>
      </c>
      <c r="BA49" s="27">
        <v>8.4199999999999997E-2</v>
      </c>
      <c r="BB49" s="27">
        <v>8.2600000000000007E-2</v>
      </c>
      <c r="BC49" s="27">
        <v>7.7299999999999994E-2</v>
      </c>
      <c r="BD49" s="27">
        <v>7.0199999999999999E-2</v>
      </c>
      <c r="BE49" s="27">
        <v>6.2899999999999998E-2</v>
      </c>
      <c r="BF49" s="27">
        <v>6.2300000000000001E-2</v>
      </c>
      <c r="BG49" s="27">
        <v>6.59E-2</v>
      </c>
      <c r="BH49" s="27">
        <v>6.83E-2</v>
      </c>
      <c r="BI49" s="27">
        <v>6.5799999999999997E-2</v>
      </c>
      <c r="BJ49" s="27">
        <v>6.4299999999999996E-2</v>
      </c>
      <c r="BK49" s="27">
        <v>6.5100000000000005E-2</v>
      </c>
      <c r="BL49" s="27">
        <v>6.2799999999999995E-2</v>
      </c>
      <c r="BM49" s="27">
        <v>6.3E-2</v>
      </c>
      <c r="BN49" s="27">
        <v>6.5299999999999997E-2</v>
      </c>
      <c r="BO49" s="27">
        <v>6.6299999999999998E-2</v>
      </c>
      <c r="BP49" s="27">
        <v>6.6400000000000001E-2</v>
      </c>
      <c r="BQ49" s="27">
        <v>6.7299999999999999E-2</v>
      </c>
      <c r="BR49" s="27">
        <v>6.5600000000000006E-2</v>
      </c>
      <c r="BS49" s="27">
        <v>6.4299999999999996E-2</v>
      </c>
      <c r="BT49" s="27">
        <v>6.1100000000000002E-2</v>
      </c>
      <c r="BU49" s="27">
        <v>6.1199999999999997E-2</v>
      </c>
      <c r="BV49" s="27">
        <v>6.2600000000000003E-2</v>
      </c>
      <c r="BW49" s="27">
        <v>5.6899999999999999E-2</v>
      </c>
      <c r="BX49" s="27">
        <v>5.9700000000000003E-2</v>
      </c>
      <c r="BY49" s="27">
        <v>5.7200000000000001E-2</v>
      </c>
      <c r="BZ49" s="27">
        <v>5.8400000000000001E-2</v>
      </c>
      <c r="CA49" s="27">
        <v>6.54E-2</v>
      </c>
      <c r="CB49" s="27">
        <v>6.6199999999999995E-2</v>
      </c>
      <c r="CC49" s="27">
        <v>6.0699999999999997E-2</v>
      </c>
      <c r="CD49" s="27">
        <v>6.5500000000000003E-2</v>
      </c>
      <c r="CE49" s="27">
        <v>6.3E-2</v>
      </c>
      <c r="CF49" s="27">
        <v>6.6100000000000006E-2</v>
      </c>
      <c r="CG49" s="27">
        <v>6.5799999999999997E-2</v>
      </c>
      <c r="CH49" s="27">
        <v>6.7699999999999996E-2</v>
      </c>
      <c r="CI49" s="27">
        <v>6.6299999999999998E-2</v>
      </c>
      <c r="CJ49" s="27">
        <v>6.5299999999999997E-2</v>
      </c>
      <c r="CK49" s="27">
        <v>7.8799999999999995E-2</v>
      </c>
      <c r="CL49" s="27">
        <v>6.5699999999999995E-2</v>
      </c>
      <c r="CM49" s="27">
        <v>6.7599999999999993E-2</v>
      </c>
      <c r="CN49" s="27">
        <v>6.4000000000000001E-2</v>
      </c>
      <c r="CO49" s="27">
        <v>6.1499999999999999E-2</v>
      </c>
      <c r="CP49" s="27">
        <v>6.6699999999999995E-2</v>
      </c>
      <c r="CQ49" s="27">
        <v>6.8599999999999994E-2</v>
      </c>
      <c r="CR49" s="27">
        <v>6.7500000000000004E-2</v>
      </c>
      <c r="CS49" s="27">
        <v>6.8199999999999997E-2</v>
      </c>
      <c r="CT49" s="27">
        <v>6.4699999999999994E-2</v>
      </c>
      <c r="CU49" s="27">
        <v>6.7000000000000004E-2</v>
      </c>
      <c r="CV49" s="27">
        <v>6.7900000000000002E-2</v>
      </c>
      <c r="CW49" s="27">
        <v>6.7100000000000007E-2</v>
      </c>
      <c r="CX49" s="27">
        <v>6.13E-2</v>
      </c>
      <c r="CY49" s="27">
        <v>6.3500000000000001E-2</v>
      </c>
      <c r="CZ49" s="27">
        <v>5.6099999999999997E-2</v>
      </c>
      <c r="DA49" s="27">
        <v>5.45E-2</v>
      </c>
      <c r="DB49" s="27">
        <v>5.0599999999999999E-2</v>
      </c>
      <c r="DC49" s="27">
        <v>4.9000000000000002E-2</v>
      </c>
      <c r="DD49" s="27">
        <v>5.2299999999999999E-2</v>
      </c>
      <c r="DE49" s="27">
        <v>4.7899999999999998E-2</v>
      </c>
      <c r="DF49" s="27">
        <v>4.5600000000000002E-2</v>
      </c>
      <c r="DG49" s="27">
        <v>4.41E-2</v>
      </c>
      <c r="DH49" s="27">
        <v>4.5100000000000001E-2</v>
      </c>
      <c r="DI49" s="27">
        <v>4.2500000000000003E-2</v>
      </c>
      <c r="DJ49" s="27">
        <v>4.4600000000000001E-2</v>
      </c>
      <c r="DK49" s="27">
        <v>4.1200000000000001E-2</v>
      </c>
      <c r="DL49" s="27">
        <v>4.8899999999999999E-2</v>
      </c>
      <c r="DM49" s="27">
        <v>4.1799999999999997E-2</v>
      </c>
      <c r="DN49" s="27">
        <v>4.5400000000000003E-2</v>
      </c>
      <c r="DO49" s="27">
        <v>4.3299999999999998E-2</v>
      </c>
      <c r="DP49" s="27">
        <v>4.0099999999999997E-2</v>
      </c>
      <c r="DQ49" s="27">
        <v>4.4499999999999998E-2</v>
      </c>
      <c r="DR49" s="27">
        <v>4.2599999999999999E-2</v>
      </c>
      <c r="DS49" s="27">
        <v>3.9600000000000003E-2</v>
      </c>
      <c r="DT49" s="27">
        <v>4.2299999999999997E-2</v>
      </c>
      <c r="DU49" s="27">
        <v>3.7400000000000003E-2</v>
      </c>
      <c r="DV49" s="27">
        <v>3.3799999999999997E-2</v>
      </c>
      <c r="DW49" s="27">
        <v>3.5499999999999997E-2</v>
      </c>
      <c r="DX49" s="27">
        <v>3.5900000000000001E-2</v>
      </c>
      <c r="DY49" s="27">
        <v>3.09E-2</v>
      </c>
      <c r="DZ49" s="27">
        <v>3.6999999999999998E-2</v>
      </c>
      <c r="EA49" s="27">
        <v>3.5999999999999997E-2</v>
      </c>
      <c r="EB49" s="27">
        <v>3.6600000000000001E-2</v>
      </c>
      <c r="EC49" s="27">
        <v>3.4299999999999997E-2</v>
      </c>
      <c r="ED49" s="27">
        <v>3.5799999999999998E-2</v>
      </c>
      <c r="EE49" s="27">
        <v>3.5799999999999998E-2</v>
      </c>
      <c r="EF49" s="27">
        <v>3.7600000000000001E-2</v>
      </c>
      <c r="EG49" s="27">
        <v>3.61E-2</v>
      </c>
      <c r="EH49" s="27">
        <v>3.7499999999999999E-2</v>
      </c>
      <c r="EI49" s="27">
        <v>3.44E-2</v>
      </c>
      <c r="EJ49" s="27">
        <v>3.56E-2</v>
      </c>
      <c r="EK49" s="27">
        <v>3.39E-2</v>
      </c>
      <c r="EL49" s="27">
        <v>3.7600000000000001E-2</v>
      </c>
      <c r="EM49" s="27">
        <v>3.6499999999999998E-2</v>
      </c>
      <c r="EN49" s="27">
        <v>3.9100000000000003E-2</v>
      </c>
      <c r="EO49" s="27">
        <v>3.8199999999999998E-2</v>
      </c>
      <c r="EP49" s="27">
        <v>3.6799999999999999E-2</v>
      </c>
      <c r="EQ49" s="27">
        <v>3.5900000000000001E-2</v>
      </c>
      <c r="ER49" s="27">
        <v>3.8199999999999998E-2</v>
      </c>
      <c r="ES49" s="27">
        <v>3.56E-2</v>
      </c>
      <c r="ET49" s="27">
        <v>3.6799999999999999E-2</v>
      </c>
      <c r="EU49" s="27">
        <v>3.9600000000000003E-2</v>
      </c>
      <c r="EV49" s="27">
        <v>4.1300000000000003E-2</v>
      </c>
      <c r="EW49" s="27">
        <v>3.9600000000000003E-2</v>
      </c>
      <c r="EX49" s="27">
        <v>4.1200000000000001E-2</v>
      </c>
      <c r="EY49" s="27">
        <v>3.7699999999999997E-2</v>
      </c>
      <c r="EZ49" s="27">
        <v>3.8899999999999997E-2</v>
      </c>
      <c r="FA49" s="27">
        <v>3.6700000000000003E-2</v>
      </c>
      <c r="FB49" s="27">
        <v>3.9100000000000003E-2</v>
      </c>
      <c r="FC49" s="27">
        <v>4.1700000000000001E-2</v>
      </c>
      <c r="FD49" s="27">
        <v>3.9699999999999999E-2</v>
      </c>
      <c r="FE49" s="27">
        <v>3.9899999999999998E-2</v>
      </c>
      <c r="FF49" s="27">
        <v>3.8300000000000001E-2</v>
      </c>
      <c r="FG49" s="27">
        <v>3.8300000000000001E-2</v>
      </c>
      <c r="FH49" s="27">
        <v>3.9399999999999998E-2</v>
      </c>
      <c r="FI49" s="27">
        <v>3.6200000000000003E-2</v>
      </c>
      <c r="FJ49" s="27">
        <v>0.04</v>
      </c>
      <c r="FK49" s="27">
        <v>3.73E-2</v>
      </c>
      <c r="FL49" s="27">
        <v>3.85E-2</v>
      </c>
      <c r="FM49" s="27">
        <v>0.04</v>
      </c>
      <c r="FN49" s="27">
        <v>3.9E-2</v>
      </c>
      <c r="FO49" s="27">
        <v>3.5799999999999998E-2</v>
      </c>
      <c r="FP49" s="27">
        <v>3.9399999999999998E-2</v>
      </c>
      <c r="FQ49" s="27">
        <v>3.8899999999999997E-2</v>
      </c>
      <c r="FR49" s="27">
        <v>3.61E-2</v>
      </c>
      <c r="FS49" s="27">
        <v>4.19E-2</v>
      </c>
      <c r="FT49" s="27">
        <v>0.04</v>
      </c>
      <c r="FU49" s="27">
        <v>4.1300000000000003E-2</v>
      </c>
      <c r="FV49" s="27">
        <v>0.04</v>
      </c>
      <c r="FW49" s="27">
        <v>3.9600000000000003E-2</v>
      </c>
      <c r="FX49" s="27">
        <v>3.4799999999999998E-2</v>
      </c>
      <c r="FY49" s="27">
        <v>4.2500000000000003E-2</v>
      </c>
      <c r="FZ49" s="26">
        <v>4.0899999999999999E-2</v>
      </c>
      <c r="GA49" s="22">
        <v>0.04</v>
      </c>
      <c r="GB49" s="22">
        <v>3.56E-2</v>
      </c>
      <c r="GC49" s="22">
        <v>3.8699999999999998E-2</v>
      </c>
      <c r="GD49" s="22">
        <v>0.04</v>
      </c>
      <c r="GE49" s="22">
        <v>3.7999999999999999E-2</v>
      </c>
      <c r="GF49" s="22">
        <v>3.7100000000000001E-2</v>
      </c>
      <c r="GG49" s="27">
        <v>3.95E-2</v>
      </c>
      <c r="GH49" s="26">
        <v>2.87E-2</v>
      </c>
      <c r="GI49" s="26">
        <v>3.3000000000000002E-2</v>
      </c>
      <c r="GJ49" s="22">
        <v>2.7799999999999998E-2</v>
      </c>
      <c r="GK49" s="22">
        <v>2.7199999999999998E-2</v>
      </c>
      <c r="GL49" s="27">
        <v>2.6100000000000002E-2</v>
      </c>
      <c r="GM49" s="27">
        <v>3.1600000000000003E-2</v>
      </c>
      <c r="GN49" s="26">
        <v>2.5600000000000001E-2</v>
      </c>
      <c r="GO49" s="22">
        <v>2.4E-2</v>
      </c>
      <c r="GP49" s="22">
        <v>3.0599999999999999E-2</v>
      </c>
      <c r="GQ49" s="22">
        <v>2.35E-2</v>
      </c>
      <c r="GR49" s="25">
        <v>2.4899999999999999E-2</v>
      </c>
      <c r="GS49" s="24">
        <v>2.3099999999999999E-2</v>
      </c>
      <c r="GT49" s="23">
        <v>2.35E-2</v>
      </c>
      <c r="GU49" s="22">
        <v>2.6200000000000001E-2</v>
      </c>
      <c r="GV49" s="25">
        <v>2.6800000000000001E-2</v>
      </c>
      <c r="GW49" s="24">
        <v>2.46E-2</v>
      </c>
      <c r="GX49" s="23">
        <v>2.3599999999999999E-2</v>
      </c>
      <c r="GY49" s="22">
        <v>2.4500000000000001E-2</v>
      </c>
      <c r="GZ49" s="22">
        <v>2.4799999999999999E-2</v>
      </c>
      <c r="HA49" s="25">
        <v>3.2300000000000002E-2</v>
      </c>
      <c r="HB49" s="25">
        <v>3.9199999999999999E-2</v>
      </c>
      <c r="HC49" s="25">
        <v>4.36E-2</v>
      </c>
      <c r="HD49" s="25">
        <v>4.8000000000000001E-2</v>
      </c>
      <c r="HE49" s="25">
        <v>6.0499999999999998E-2</v>
      </c>
      <c r="HF49" s="25">
        <v>6.6199999999999995E-2</v>
      </c>
      <c r="HG49" s="25">
        <v>7.7399999999999997E-2</v>
      </c>
      <c r="HH49" s="25">
        <v>8.5900000000000004E-2</v>
      </c>
      <c r="HI49" s="25">
        <v>8.9899999999999994E-2</v>
      </c>
      <c r="HJ49" s="25">
        <v>8.9399999999999993E-2</v>
      </c>
      <c r="HK49" s="25">
        <v>9.4700000000000006E-2</v>
      </c>
      <c r="HL49" s="23">
        <v>9.11E-2</v>
      </c>
      <c r="HM49" s="23">
        <v>9.2999999999999999E-2</v>
      </c>
      <c r="HN49" s="23">
        <v>8.9599999999999999E-2</v>
      </c>
      <c r="HO49" s="23">
        <v>9.64E-2</v>
      </c>
      <c r="HP49" s="23">
        <v>8.8700000000000001E-2</v>
      </c>
      <c r="HQ49" s="23">
        <v>9.3399999999999997E-2</v>
      </c>
      <c r="HR49" s="23">
        <v>9.1700000000000004E-2</v>
      </c>
      <c r="HS49" s="23">
        <v>9.6699999999999994E-2</v>
      </c>
      <c r="HT49" s="23">
        <v>9.2600000000000002E-2</v>
      </c>
      <c r="HU49" s="23">
        <v>9.0899999999999995E-2</v>
      </c>
      <c r="HV49" s="23">
        <v>8.9200000000000002E-2</v>
      </c>
      <c r="HW49" s="23">
        <v>8.3199999999999996E-2</v>
      </c>
      <c r="HX49" s="23">
        <v>7.9000000000000001E-2</v>
      </c>
      <c r="HY49" s="22">
        <v>7.9699999999999993E-2</v>
      </c>
      <c r="HZ49" s="25">
        <v>8.0199999999999994E-2</v>
      </c>
      <c r="IA49" s="23">
        <v>8.2699999999999996E-2</v>
      </c>
      <c r="IB49" s="23">
        <v>8.0699999999999994E-2</v>
      </c>
      <c r="IC49" s="22">
        <v>7.9600000000000004E-2</v>
      </c>
      <c r="ID49" s="22">
        <v>7.9899999999999999E-2</v>
      </c>
      <c r="IE49" s="25">
        <v>7.9500000000000001E-2</v>
      </c>
      <c r="IF49" s="24">
        <v>7.8899999999999998E-2</v>
      </c>
      <c r="IG49" s="24">
        <v>7.7200000000000005E-2</v>
      </c>
      <c r="IH49" s="24">
        <v>7.6600000000000001E-2</v>
      </c>
      <c r="II49" s="25">
        <v>7.6399999999999996E-2</v>
      </c>
      <c r="IJ49" s="25">
        <v>7.7700000000000005E-2</v>
      </c>
      <c r="IK49" s="25">
        <v>7.8E-2</v>
      </c>
      <c r="IL49" s="25">
        <v>7.8200000000000006E-2</v>
      </c>
      <c r="IM49" s="24">
        <v>7.9000000000000001E-2</v>
      </c>
      <c r="IN49" s="23">
        <v>7.8299999999999995E-2</v>
      </c>
      <c r="IO49" s="22">
        <v>7.8799999999999995E-2</v>
      </c>
      <c r="IP49" s="25">
        <v>7.3400000000000007E-2</v>
      </c>
      <c r="IQ49" s="25">
        <v>7.4700000000000003E-2</v>
      </c>
      <c r="IR49" s="24">
        <v>7.2400000000000006E-2</v>
      </c>
      <c r="IS49" s="24">
        <v>7.0300000000000001E-2</v>
      </c>
      <c r="IT49" s="24">
        <v>7.2099999999999997E-2</v>
      </c>
      <c r="IU49" s="24">
        <v>6.7299999999999999E-2</v>
      </c>
      <c r="IV49" s="25">
        <v>6.6900000000000001E-2</v>
      </c>
      <c r="IW49" s="25">
        <v>6.13E-2</v>
      </c>
      <c r="IX49" s="25">
        <v>5.8900000000000001E-2</v>
      </c>
      <c r="IY49" s="23">
        <v>5.67E-2</v>
      </c>
      <c r="IZ49" s="22">
        <v>5.5399999999999998E-2</v>
      </c>
      <c r="JA49" s="22">
        <v>5.5599999999999997E-2</v>
      </c>
      <c r="JB49" s="22">
        <v>5.7000000000000002E-2</v>
      </c>
      <c r="JC49" s="24">
        <v>5.3999999999999999E-2</v>
      </c>
      <c r="JD49" s="23">
        <v>5.5599999999999997E-2</v>
      </c>
      <c r="JE49" s="22">
        <v>5.74E-2</v>
      </c>
    </row>
    <row r="50" spans="1:265" ht="22.5" customHeight="1">
      <c r="A50" s="60"/>
      <c r="B50" s="60"/>
      <c r="C50" s="60"/>
      <c r="D50" s="28" t="s">
        <v>23</v>
      </c>
      <c r="E50" s="20">
        <v>48</v>
      </c>
      <c r="F50" s="19" t="s">
        <v>22</v>
      </c>
      <c r="G50" s="18" t="s">
        <v>21</v>
      </c>
      <c r="H50" s="18" t="s">
        <v>21</v>
      </c>
      <c r="I50" s="18" t="s">
        <v>21</v>
      </c>
      <c r="J50" s="18" t="s">
        <v>21</v>
      </c>
      <c r="K50" s="18" t="s">
        <v>21</v>
      </c>
      <c r="L50" s="18" t="s">
        <v>21</v>
      </c>
      <c r="M50" s="18" t="s">
        <v>21</v>
      </c>
      <c r="N50" s="18" t="s">
        <v>21</v>
      </c>
      <c r="O50" s="18" t="s">
        <v>21</v>
      </c>
      <c r="P50" s="18" t="s">
        <v>21</v>
      </c>
      <c r="Q50" s="18" t="s">
        <v>21</v>
      </c>
      <c r="R50" s="18" t="s">
        <v>21</v>
      </c>
      <c r="S50" s="18" t="s">
        <v>21</v>
      </c>
      <c r="T50" s="18" t="s">
        <v>21</v>
      </c>
      <c r="U50" s="18" t="s">
        <v>21</v>
      </c>
      <c r="V50" s="18" t="s">
        <v>21</v>
      </c>
      <c r="W50" s="18" t="s">
        <v>21</v>
      </c>
      <c r="X50" s="18" t="s">
        <v>21</v>
      </c>
      <c r="Y50" s="18" t="s">
        <v>21</v>
      </c>
      <c r="Z50" s="18" t="s">
        <v>21</v>
      </c>
      <c r="AA50" s="18" t="s">
        <v>21</v>
      </c>
      <c r="AB50" s="18" t="s">
        <v>21</v>
      </c>
      <c r="AC50" s="18" t="s">
        <v>21</v>
      </c>
      <c r="AD50" s="18" t="s">
        <v>21</v>
      </c>
      <c r="AE50" s="18" t="s">
        <v>21</v>
      </c>
      <c r="AF50" s="18" t="s">
        <v>21</v>
      </c>
      <c r="AG50" s="18" t="s">
        <v>21</v>
      </c>
      <c r="AH50" s="18" t="s">
        <v>21</v>
      </c>
      <c r="AI50" s="18" t="s">
        <v>21</v>
      </c>
      <c r="AJ50" s="18" t="s">
        <v>21</v>
      </c>
      <c r="AK50" s="18" t="s">
        <v>21</v>
      </c>
      <c r="AL50" s="18" t="s">
        <v>21</v>
      </c>
      <c r="AM50" s="18" t="s">
        <v>21</v>
      </c>
      <c r="AN50" s="18" t="s">
        <v>21</v>
      </c>
      <c r="AO50" s="18" t="s">
        <v>21</v>
      </c>
      <c r="AP50" s="18" t="s">
        <v>21</v>
      </c>
      <c r="AQ50" s="18" t="s">
        <v>21</v>
      </c>
      <c r="AR50" s="18" t="s">
        <v>21</v>
      </c>
      <c r="AS50" s="18" t="s">
        <v>21</v>
      </c>
      <c r="AT50" s="18" t="s">
        <v>21</v>
      </c>
      <c r="AU50" s="18" t="s">
        <v>21</v>
      </c>
      <c r="AV50" s="18" t="s">
        <v>21</v>
      </c>
      <c r="AW50" s="18" t="s">
        <v>21</v>
      </c>
      <c r="AX50" s="18" t="s">
        <v>21</v>
      </c>
      <c r="AY50" s="18" t="s">
        <v>21</v>
      </c>
      <c r="AZ50" s="18" t="s">
        <v>21</v>
      </c>
      <c r="BA50" s="18" t="s">
        <v>21</v>
      </c>
      <c r="BB50" s="18" t="s">
        <v>21</v>
      </c>
      <c r="BC50" s="18" t="s">
        <v>21</v>
      </c>
      <c r="BD50" s="18" t="s">
        <v>21</v>
      </c>
      <c r="BE50" s="18" t="s">
        <v>21</v>
      </c>
      <c r="BF50" s="18" t="s">
        <v>21</v>
      </c>
      <c r="BG50" s="18" t="s">
        <v>21</v>
      </c>
      <c r="BH50" s="18" t="s">
        <v>21</v>
      </c>
      <c r="BI50" s="18" t="s">
        <v>21</v>
      </c>
      <c r="BJ50" s="18" t="s">
        <v>21</v>
      </c>
      <c r="BK50" s="18" t="s">
        <v>21</v>
      </c>
      <c r="BL50" s="18" t="s">
        <v>21</v>
      </c>
      <c r="BM50" s="18" t="s">
        <v>21</v>
      </c>
      <c r="BN50" s="18" t="s">
        <v>21</v>
      </c>
      <c r="BO50" s="18" t="s">
        <v>21</v>
      </c>
      <c r="BP50" s="18" t="s">
        <v>21</v>
      </c>
      <c r="BQ50" s="18" t="s">
        <v>21</v>
      </c>
      <c r="BR50" s="18" t="s">
        <v>21</v>
      </c>
      <c r="BS50" s="18" t="s">
        <v>21</v>
      </c>
      <c r="BT50" s="18">
        <v>6.6600000000000006E-2</v>
      </c>
      <c r="BU50" s="18">
        <v>6.83E-2</v>
      </c>
      <c r="BV50" s="18">
        <v>7.2099999999999997E-2</v>
      </c>
      <c r="BW50" s="18">
        <v>6.5500000000000003E-2</v>
      </c>
      <c r="BX50" s="18">
        <v>6.7100000000000007E-2</v>
      </c>
      <c r="BY50" s="18">
        <v>6.4100000000000004E-2</v>
      </c>
      <c r="BZ50" s="18">
        <v>6.5000000000000002E-2</v>
      </c>
      <c r="CA50" s="18">
        <v>7.0800000000000002E-2</v>
      </c>
      <c r="CB50" s="18">
        <v>7.3599999999999999E-2</v>
      </c>
      <c r="CC50" s="18">
        <v>6.5100000000000005E-2</v>
      </c>
      <c r="CD50" s="18">
        <v>6.9500000000000006E-2</v>
      </c>
      <c r="CE50" s="18">
        <v>6.7299999999999999E-2</v>
      </c>
      <c r="CF50" s="18">
        <v>7.1199999999999999E-2</v>
      </c>
      <c r="CG50" s="18">
        <v>7.1599999999999997E-2</v>
      </c>
      <c r="CH50" s="18">
        <v>7.4300000000000005E-2</v>
      </c>
      <c r="CI50" s="18">
        <v>7.0800000000000002E-2</v>
      </c>
      <c r="CJ50" s="18">
        <v>7.0900000000000005E-2</v>
      </c>
      <c r="CK50" s="18">
        <v>8.5800000000000001E-2</v>
      </c>
      <c r="CL50" s="18">
        <v>6.9199999999999998E-2</v>
      </c>
      <c r="CM50" s="18">
        <v>7.6899999999999996E-2</v>
      </c>
      <c r="CN50" s="18">
        <v>7.0499999999999993E-2</v>
      </c>
      <c r="CO50" s="18">
        <v>6.6199999999999995E-2</v>
      </c>
      <c r="CP50" s="18">
        <v>7.1099999999999997E-2</v>
      </c>
      <c r="CQ50" s="18">
        <v>7.22E-2</v>
      </c>
      <c r="CR50" s="18">
        <v>7.2999999999999995E-2</v>
      </c>
      <c r="CS50" s="18">
        <v>7.2800000000000004E-2</v>
      </c>
      <c r="CT50" s="18">
        <v>7.2700000000000001E-2</v>
      </c>
      <c r="CU50" s="18">
        <v>7.2300000000000003E-2</v>
      </c>
      <c r="CV50" s="18">
        <v>7.0400000000000004E-2</v>
      </c>
      <c r="CW50" s="18">
        <v>6.93E-2</v>
      </c>
      <c r="CX50" s="18">
        <v>6.6600000000000006E-2</v>
      </c>
      <c r="CY50" s="18">
        <v>6.7900000000000002E-2</v>
      </c>
      <c r="CZ50" s="18">
        <v>6.13E-2</v>
      </c>
      <c r="DA50" s="18">
        <v>5.9299999999999999E-2</v>
      </c>
      <c r="DB50" s="18">
        <v>5.2299999999999999E-2</v>
      </c>
      <c r="DC50" s="18">
        <v>5.2400000000000002E-2</v>
      </c>
      <c r="DD50" s="18">
        <v>5.45E-2</v>
      </c>
      <c r="DE50" s="18">
        <v>4.9700000000000001E-2</v>
      </c>
      <c r="DF50" s="18">
        <v>4.58E-2</v>
      </c>
      <c r="DG50" s="18">
        <v>4.53E-2</v>
      </c>
      <c r="DH50" s="18">
        <v>4.7399999999999998E-2</v>
      </c>
      <c r="DI50" s="18">
        <v>4.5499999999999999E-2</v>
      </c>
      <c r="DJ50" s="18">
        <v>4.7100000000000003E-2</v>
      </c>
      <c r="DK50" s="18">
        <v>4.5999999999999999E-2</v>
      </c>
      <c r="DL50" s="18">
        <v>5.28E-2</v>
      </c>
      <c r="DM50" s="18">
        <v>4.4600000000000001E-2</v>
      </c>
      <c r="DN50" s="18">
        <v>4.7600000000000003E-2</v>
      </c>
      <c r="DO50" s="18">
        <v>4.4299999999999999E-2</v>
      </c>
      <c r="DP50" s="18">
        <v>4.3900000000000002E-2</v>
      </c>
      <c r="DQ50" s="18">
        <v>4.6699999999999998E-2</v>
      </c>
      <c r="DR50" s="18">
        <v>4.4999999999999998E-2</v>
      </c>
      <c r="DS50" s="18">
        <v>4.0899999999999999E-2</v>
      </c>
      <c r="DT50" s="18">
        <v>4.2700000000000002E-2</v>
      </c>
      <c r="DU50" s="18">
        <v>4.0300000000000002E-2</v>
      </c>
      <c r="DV50" s="18">
        <v>3.5200000000000002E-2</v>
      </c>
      <c r="DW50" s="18">
        <v>3.6200000000000003E-2</v>
      </c>
      <c r="DX50" s="18">
        <v>3.7100000000000001E-2</v>
      </c>
      <c r="DY50" s="18">
        <v>3.4500000000000003E-2</v>
      </c>
      <c r="DZ50" s="18">
        <v>3.8100000000000002E-2</v>
      </c>
      <c r="EA50" s="18">
        <v>3.8800000000000001E-2</v>
      </c>
      <c r="EB50" s="18">
        <v>3.7699999999999997E-2</v>
      </c>
      <c r="EC50" s="18">
        <v>3.5499999999999997E-2</v>
      </c>
      <c r="ED50" s="18">
        <v>3.8199999999999998E-2</v>
      </c>
      <c r="EE50" s="18">
        <v>3.6299999999999999E-2</v>
      </c>
      <c r="EF50" s="18">
        <v>3.7999999999999999E-2</v>
      </c>
      <c r="EG50" s="18">
        <v>3.6299999999999999E-2</v>
      </c>
      <c r="EH50" s="18">
        <v>3.73E-2</v>
      </c>
      <c r="EI50" s="18">
        <v>3.4099999999999998E-2</v>
      </c>
      <c r="EJ50" s="18">
        <v>3.4599999999999999E-2</v>
      </c>
      <c r="EK50" s="18">
        <v>3.5099999999999999E-2</v>
      </c>
      <c r="EL50" s="18">
        <v>3.6900000000000002E-2</v>
      </c>
      <c r="EM50" s="18">
        <v>3.7999999999999999E-2</v>
      </c>
      <c r="EN50" s="18">
        <v>0.04</v>
      </c>
      <c r="EO50" s="18">
        <v>4.1200000000000001E-2</v>
      </c>
      <c r="EP50" s="18">
        <v>3.8300000000000001E-2</v>
      </c>
      <c r="EQ50" s="18">
        <v>3.49E-2</v>
      </c>
      <c r="ER50" s="18">
        <v>4.0300000000000002E-2</v>
      </c>
      <c r="ES50" s="18">
        <v>3.8699999999999998E-2</v>
      </c>
      <c r="ET50" s="18">
        <v>3.8899999999999997E-2</v>
      </c>
      <c r="EU50" s="18">
        <v>4.19E-2</v>
      </c>
      <c r="EV50" s="18">
        <v>4.2999999999999997E-2</v>
      </c>
      <c r="EW50" s="18">
        <v>4.0599999999999997E-2</v>
      </c>
      <c r="EX50" s="18">
        <v>4.3099999999999999E-2</v>
      </c>
      <c r="EY50" s="18">
        <v>3.7499999999999999E-2</v>
      </c>
      <c r="EZ50" s="18">
        <v>3.9800000000000002E-2</v>
      </c>
      <c r="FA50" s="18">
        <v>3.8199999999999998E-2</v>
      </c>
      <c r="FB50" s="18">
        <v>3.9899999999999998E-2</v>
      </c>
      <c r="FC50" s="18">
        <v>4.2200000000000001E-2</v>
      </c>
      <c r="FD50" s="18">
        <v>4.1799999999999997E-2</v>
      </c>
      <c r="FE50" s="18">
        <v>4.0500000000000001E-2</v>
      </c>
      <c r="FF50" s="18">
        <v>3.8600000000000002E-2</v>
      </c>
      <c r="FG50" s="18">
        <v>4.1200000000000001E-2</v>
      </c>
      <c r="FH50" s="18">
        <v>4.07E-2</v>
      </c>
      <c r="FI50" s="18">
        <v>3.4700000000000002E-2</v>
      </c>
      <c r="FJ50" s="18">
        <v>4.02E-2</v>
      </c>
      <c r="FK50" s="18">
        <v>3.7900000000000003E-2</v>
      </c>
      <c r="FL50" s="18">
        <v>3.9899999999999998E-2</v>
      </c>
      <c r="FM50" s="18">
        <v>4.2000000000000003E-2</v>
      </c>
      <c r="FN50" s="18">
        <v>4.0500000000000001E-2</v>
      </c>
      <c r="FO50" s="18">
        <v>3.7499999999999999E-2</v>
      </c>
      <c r="FP50" s="18">
        <v>4.0399999999999998E-2</v>
      </c>
      <c r="FQ50" s="18">
        <v>4.0099999999999997E-2</v>
      </c>
      <c r="FR50" s="18">
        <v>3.6299999999999999E-2</v>
      </c>
      <c r="FS50" s="18">
        <v>4.2999999999999997E-2</v>
      </c>
      <c r="FT50" s="18">
        <v>4.2500000000000003E-2</v>
      </c>
      <c r="FU50" s="18">
        <v>4.3900000000000002E-2</v>
      </c>
      <c r="FV50" s="18">
        <v>4.0800000000000003E-2</v>
      </c>
      <c r="FW50" s="18">
        <v>3.9399999999999998E-2</v>
      </c>
      <c r="FX50" s="18">
        <v>3.49E-2</v>
      </c>
      <c r="FY50" s="18">
        <v>4.3099999999999999E-2</v>
      </c>
      <c r="FZ50" s="17">
        <v>4.1399999999999999E-2</v>
      </c>
      <c r="GA50" s="13">
        <v>4.0899999999999999E-2</v>
      </c>
      <c r="GB50" s="13">
        <v>3.9E-2</v>
      </c>
      <c r="GC50" s="13">
        <v>4.0300000000000002E-2</v>
      </c>
      <c r="GD50" s="13">
        <v>0.04</v>
      </c>
      <c r="GE50" s="13">
        <v>3.8800000000000001E-2</v>
      </c>
      <c r="GF50" s="13">
        <v>4.0599999999999997E-2</v>
      </c>
      <c r="GG50" s="18">
        <v>4.1599999999999998E-2</v>
      </c>
      <c r="GH50" s="17">
        <v>3.09E-2</v>
      </c>
      <c r="GI50" s="17">
        <v>4.0399999999999998E-2</v>
      </c>
      <c r="GJ50" s="13">
        <v>3.0700000000000002E-2</v>
      </c>
      <c r="GK50" s="13">
        <v>2.7900000000000001E-2</v>
      </c>
      <c r="GL50" s="18">
        <v>2.98E-2</v>
      </c>
      <c r="GM50" s="18">
        <v>3.1899999999999998E-2</v>
      </c>
      <c r="GN50" s="17">
        <v>3.0099999999999998E-2</v>
      </c>
      <c r="GO50" s="13">
        <v>2.4799999999999999E-2</v>
      </c>
      <c r="GP50" s="13">
        <v>3.4599999999999999E-2</v>
      </c>
      <c r="GQ50" s="13">
        <v>2.69E-2</v>
      </c>
      <c r="GR50" s="16">
        <v>2.8000000000000001E-2</v>
      </c>
      <c r="GS50" s="15">
        <v>2.4299999999999999E-2</v>
      </c>
      <c r="GT50" s="14">
        <v>2.63E-2</v>
      </c>
      <c r="GU50" s="13">
        <v>2.7300000000000001E-2</v>
      </c>
      <c r="GV50" s="16">
        <v>2.8000000000000001E-2</v>
      </c>
      <c r="GW50" s="15">
        <v>2.6599999999999999E-2</v>
      </c>
      <c r="GX50" s="14">
        <v>2.5399999999999999E-2</v>
      </c>
      <c r="GY50" s="13">
        <v>2.4899999999999999E-2</v>
      </c>
      <c r="GZ50" s="13">
        <v>2.6599999999999999E-2</v>
      </c>
      <c r="HA50" s="16">
        <v>3.2300000000000002E-2</v>
      </c>
      <c r="HB50" s="16">
        <v>4.0399999999999998E-2</v>
      </c>
      <c r="HC50" s="16">
        <v>4.5199999999999997E-2</v>
      </c>
      <c r="HD50" s="16">
        <v>4.9000000000000002E-2</v>
      </c>
      <c r="HE50" s="16">
        <v>6.2399999999999997E-2</v>
      </c>
      <c r="HF50" s="16">
        <v>6.8099999999999994E-2</v>
      </c>
      <c r="HG50" s="16">
        <v>7.9500000000000001E-2</v>
      </c>
      <c r="HH50" s="16">
        <v>8.7599999999999997E-2</v>
      </c>
      <c r="HI50" s="16">
        <v>9.1300000000000006E-2</v>
      </c>
      <c r="HJ50" s="16">
        <v>9.1899999999999996E-2</v>
      </c>
      <c r="HK50" s="16">
        <v>9.64E-2</v>
      </c>
      <c r="HL50" s="14">
        <v>9.3200000000000005E-2</v>
      </c>
      <c r="HM50" s="14">
        <v>9.4E-2</v>
      </c>
      <c r="HN50" s="14">
        <v>9.0899999999999995E-2</v>
      </c>
      <c r="HO50" s="14">
        <v>9.7600000000000006E-2</v>
      </c>
      <c r="HP50" s="14">
        <v>8.9599999999999999E-2</v>
      </c>
      <c r="HQ50" s="14">
        <v>9.9000000000000005E-2</v>
      </c>
      <c r="HR50" s="14">
        <v>9.5500000000000002E-2</v>
      </c>
      <c r="HS50" s="14">
        <v>9.6799999999999997E-2</v>
      </c>
      <c r="HT50" s="14">
        <v>9.4200000000000006E-2</v>
      </c>
      <c r="HU50" s="14">
        <v>9.2999999999999999E-2</v>
      </c>
      <c r="HV50" s="14">
        <v>9.0499999999999997E-2</v>
      </c>
      <c r="HW50" s="14">
        <v>8.3699999999999997E-2</v>
      </c>
      <c r="HX50" s="14">
        <v>7.9899999999999999E-2</v>
      </c>
      <c r="HY50" s="13">
        <v>8.1699999999999995E-2</v>
      </c>
      <c r="HZ50" s="16">
        <v>8.2299999999999998E-2</v>
      </c>
      <c r="IA50" s="14">
        <v>8.5099999999999995E-2</v>
      </c>
      <c r="IB50" s="14">
        <v>8.3199999999999996E-2</v>
      </c>
      <c r="IC50" s="13">
        <v>8.1000000000000003E-2</v>
      </c>
      <c r="ID50" s="13">
        <v>8.2299999999999998E-2</v>
      </c>
      <c r="IE50" s="16">
        <v>8.14E-2</v>
      </c>
      <c r="IF50" s="15">
        <v>7.9100000000000004E-2</v>
      </c>
      <c r="IG50" s="15">
        <v>8.0699999999999994E-2</v>
      </c>
      <c r="IH50" s="15">
        <v>7.9500000000000001E-2</v>
      </c>
      <c r="II50" s="16">
        <v>8.1500000000000003E-2</v>
      </c>
      <c r="IJ50" s="16">
        <v>8.0299999999999996E-2</v>
      </c>
      <c r="IK50" s="16">
        <v>7.9799999999999996E-2</v>
      </c>
      <c r="IL50" s="16">
        <v>7.9600000000000004E-2</v>
      </c>
      <c r="IM50" s="15">
        <v>7.9899999999999999E-2</v>
      </c>
      <c r="IN50" s="14">
        <v>7.9000000000000001E-2</v>
      </c>
      <c r="IO50" s="13">
        <v>8.0100000000000005E-2</v>
      </c>
      <c r="IP50" s="16">
        <v>7.6899999999999996E-2</v>
      </c>
      <c r="IQ50" s="16">
        <v>7.5700000000000003E-2</v>
      </c>
      <c r="IR50" s="15">
        <v>7.3700000000000002E-2</v>
      </c>
      <c r="IS50" s="15">
        <v>7.0999999999999994E-2</v>
      </c>
      <c r="IT50" s="15">
        <v>7.3400000000000007E-2</v>
      </c>
      <c r="IU50" s="15">
        <v>6.8699999999999997E-2</v>
      </c>
      <c r="IV50" s="16">
        <v>6.9000000000000006E-2</v>
      </c>
      <c r="IW50" s="16">
        <v>6.2700000000000006E-2</v>
      </c>
      <c r="IX50" s="16">
        <v>6.0199999999999997E-2</v>
      </c>
      <c r="IY50" s="14">
        <v>5.7799999999999997E-2</v>
      </c>
      <c r="IZ50" s="13">
        <v>5.6500000000000002E-2</v>
      </c>
      <c r="JA50" s="13">
        <v>5.6800000000000003E-2</v>
      </c>
      <c r="JB50" s="13">
        <v>5.79E-2</v>
      </c>
      <c r="JC50" s="15">
        <v>5.45E-2</v>
      </c>
      <c r="JD50" s="14">
        <v>5.6500000000000002E-2</v>
      </c>
      <c r="JE50" s="13">
        <v>5.9299999999999999E-2</v>
      </c>
    </row>
    <row r="51" spans="1:265" ht="12.75" customHeight="1">
      <c r="A51" s="60"/>
      <c r="B51" s="60"/>
      <c r="C51" s="61" t="s">
        <v>19</v>
      </c>
      <c r="D51" s="60"/>
      <c r="E51" s="20">
        <v>49</v>
      </c>
      <c r="F51" s="19" t="s">
        <v>20</v>
      </c>
      <c r="G51" s="27">
        <v>8.3400000000000002E-2</v>
      </c>
      <c r="H51" s="27">
        <v>8.0799999999999997E-2</v>
      </c>
      <c r="I51" s="27">
        <v>7.7399999999999997E-2</v>
      </c>
      <c r="J51" s="27">
        <v>7.3400000000000007E-2</v>
      </c>
      <c r="K51" s="27">
        <v>7.1199999999999999E-2</v>
      </c>
      <c r="L51" s="27">
        <v>6.83E-2</v>
      </c>
      <c r="M51" s="27">
        <v>6.4299999999999996E-2</v>
      </c>
      <c r="N51" s="27">
        <v>6.4600000000000005E-2</v>
      </c>
      <c r="O51" s="27">
        <v>6.4199999999999993E-2</v>
      </c>
      <c r="P51" s="27">
        <v>6.9599999999999995E-2</v>
      </c>
      <c r="Q51" s="27">
        <v>6.2700000000000006E-2</v>
      </c>
      <c r="R51" s="27">
        <v>6.4000000000000001E-2</v>
      </c>
      <c r="S51" s="27">
        <v>6.0699999999999997E-2</v>
      </c>
      <c r="T51" s="27">
        <v>5.6300000000000003E-2</v>
      </c>
      <c r="U51" s="27">
        <v>5.8900000000000001E-2</v>
      </c>
      <c r="V51" s="27">
        <v>5.8599999999999999E-2</v>
      </c>
      <c r="W51" s="27">
        <v>5.67E-2</v>
      </c>
      <c r="X51" s="27">
        <v>5.7000000000000002E-2</v>
      </c>
      <c r="Y51" s="27">
        <v>5.67E-2</v>
      </c>
      <c r="Z51" s="27">
        <v>5.7599999999999998E-2</v>
      </c>
      <c r="AA51" s="27">
        <v>5.79E-2</v>
      </c>
      <c r="AB51" s="27">
        <v>5.7500000000000002E-2</v>
      </c>
      <c r="AC51" s="27">
        <v>5.7700000000000001E-2</v>
      </c>
      <c r="AD51" s="27">
        <v>5.5800000000000002E-2</v>
      </c>
      <c r="AE51" s="27">
        <v>5.8000000000000003E-2</v>
      </c>
      <c r="AF51" s="27">
        <v>5.8099999999999999E-2</v>
      </c>
      <c r="AG51" s="27">
        <v>5.7000000000000002E-2</v>
      </c>
      <c r="AH51" s="27">
        <v>5.91E-2</v>
      </c>
      <c r="AI51" s="27">
        <v>5.9400000000000001E-2</v>
      </c>
      <c r="AJ51" s="27">
        <v>6.0100000000000001E-2</v>
      </c>
      <c r="AK51" s="27">
        <v>6.3299999999999995E-2</v>
      </c>
      <c r="AL51" s="27">
        <v>6.2300000000000001E-2</v>
      </c>
      <c r="AM51" s="27">
        <v>6.5799999999999997E-2</v>
      </c>
      <c r="AN51" s="27">
        <v>6.3700000000000007E-2</v>
      </c>
      <c r="AO51" s="27">
        <v>6.6699999999999995E-2</v>
      </c>
      <c r="AP51" s="27">
        <v>7.1900000000000006E-2</v>
      </c>
      <c r="AQ51" s="27">
        <v>6.9400000000000003E-2</v>
      </c>
      <c r="AR51" s="27">
        <v>7.2499999999999995E-2</v>
      </c>
      <c r="AS51" s="27">
        <v>7.3300000000000004E-2</v>
      </c>
      <c r="AT51" s="27">
        <v>7.8100000000000003E-2</v>
      </c>
      <c r="AU51" s="27">
        <v>7.7399999999999997E-2</v>
      </c>
      <c r="AV51" s="27">
        <v>8.2699999999999996E-2</v>
      </c>
      <c r="AW51" s="27">
        <v>8.1000000000000003E-2</v>
      </c>
      <c r="AX51" s="27">
        <v>8.1500000000000003E-2</v>
      </c>
      <c r="AY51" s="27">
        <v>8.3299999999999999E-2</v>
      </c>
      <c r="AZ51" s="27">
        <v>8.3699999999999997E-2</v>
      </c>
      <c r="BA51" s="27">
        <v>8.4199999999999997E-2</v>
      </c>
      <c r="BB51" s="27">
        <v>8.3299999999999999E-2</v>
      </c>
      <c r="BC51" s="27">
        <v>7.7799999999999994E-2</v>
      </c>
      <c r="BD51" s="27">
        <v>7.0499999999999993E-2</v>
      </c>
      <c r="BE51" s="27">
        <v>6.4399999999999999E-2</v>
      </c>
      <c r="BF51" s="27">
        <v>6.3600000000000004E-2</v>
      </c>
      <c r="BG51" s="27">
        <v>6.6199999999999995E-2</v>
      </c>
      <c r="BH51" s="27">
        <v>6.9500000000000006E-2</v>
      </c>
      <c r="BI51" s="27">
        <v>6.6000000000000003E-2</v>
      </c>
      <c r="BJ51" s="27">
        <v>6.4299999999999996E-2</v>
      </c>
      <c r="BK51" s="27">
        <v>6.5000000000000002E-2</v>
      </c>
      <c r="BL51" s="27">
        <v>6.3500000000000001E-2</v>
      </c>
      <c r="BM51" s="27">
        <v>6.3399999999999998E-2</v>
      </c>
      <c r="BN51" s="27">
        <v>6.5299999999999997E-2</v>
      </c>
      <c r="BO51" s="27">
        <v>6.6299999999999998E-2</v>
      </c>
      <c r="BP51" s="27">
        <v>6.5600000000000006E-2</v>
      </c>
      <c r="BQ51" s="27">
        <v>6.7100000000000007E-2</v>
      </c>
      <c r="BR51" s="27">
        <v>6.6100000000000006E-2</v>
      </c>
      <c r="BS51" s="27">
        <v>6.4299999999999996E-2</v>
      </c>
      <c r="BT51" s="27">
        <v>6.2E-2</v>
      </c>
      <c r="BU51" s="27">
        <v>6.2300000000000001E-2</v>
      </c>
      <c r="BV51" s="27">
        <v>6.3200000000000006E-2</v>
      </c>
      <c r="BW51" s="27">
        <v>5.8500000000000003E-2</v>
      </c>
      <c r="BX51" s="27">
        <v>6.0600000000000001E-2</v>
      </c>
      <c r="BY51" s="27">
        <v>5.8700000000000002E-2</v>
      </c>
      <c r="BZ51" s="27">
        <v>5.8999999999999997E-2</v>
      </c>
      <c r="CA51" s="27">
        <v>6.4699999999999994E-2</v>
      </c>
      <c r="CB51" s="27">
        <v>6.5500000000000003E-2</v>
      </c>
      <c r="CC51" s="27">
        <v>6.1100000000000002E-2</v>
      </c>
      <c r="CD51" s="27">
        <v>6.4600000000000005E-2</v>
      </c>
      <c r="CE51" s="27">
        <v>6.3700000000000007E-2</v>
      </c>
      <c r="CF51" s="27">
        <v>6.6100000000000006E-2</v>
      </c>
      <c r="CG51" s="27">
        <v>6.6100000000000006E-2</v>
      </c>
      <c r="CH51" s="27">
        <v>6.7400000000000002E-2</v>
      </c>
      <c r="CI51" s="27">
        <v>6.6299999999999998E-2</v>
      </c>
      <c r="CJ51" s="27">
        <v>6.5600000000000006E-2</v>
      </c>
      <c r="CK51" s="27">
        <v>7.5300000000000006E-2</v>
      </c>
      <c r="CL51" s="27">
        <v>6.6000000000000003E-2</v>
      </c>
      <c r="CM51" s="27">
        <v>6.7500000000000004E-2</v>
      </c>
      <c r="CN51" s="27">
        <v>6.5199999999999994E-2</v>
      </c>
      <c r="CO51" s="27">
        <v>6.3600000000000004E-2</v>
      </c>
      <c r="CP51" s="27">
        <v>6.6799999999999998E-2</v>
      </c>
      <c r="CQ51" s="27">
        <v>6.9000000000000006E-2</v>
      </c>
      <c r="CR51" s="27">
        <v>6.7799999999999999E-2</v>
      </c>
      <c r="CS51" s="27">
        <v>6.8500000000000005E-2</v>
      </c>
      <c r="CT51" s="27">
        <v>6.7100000000000007E-2</v>
      </c>
      <c r="CU51" s="27">
        <v>6.7599999999999993E-2</v>
      </c>
      <c r="CV51" s="27">
        <v>6.8400000000000002E-2</v>
      </c>
      <c r="CW51" s="27">
        <v>6.7000000000000004E-2</v>
      </c>
      <c r="CX51" s="27">
        <v>6.1899999999999997E-2</v>
      </c>
      <c r="CY51" s="27">
        <v>6.1699999999999998E-2</v>
      </c>
      <c r="CZ51" s="27">
        <v>5.67E-2</v>
      </c>
      <c r="DA51" s="27">
        <v>5.4199999999999998E-2</v>
      </c>
      <c r="DB51" s="27">
        <v>5.1400000000000001E-2</v>
      </c>
      <c r="DC51" s="27">
        <v>4.9599999999999998E-2</v>
      </c>
      <c r="DD51" s="27">
        <v>5.0799999999999998E-2</v>
      </c>
      <c r="DE51" s="27">
        <v>4.6800000000000001E-2</v>
      </c>
      <c r="DF51" s="27">
        <v>4.5100000000000001E-2</v>
      </c>
      <c r="DG51" s="27">
        <v>4.4400000000000002E-2</v>
      </c>
      <c r="DH51" s="27">
        <v>4.4600000000000001E-2</v>
      </c>
      <c r="DI51" s="27">
        <v>4.2599999999999999E-2</v>
      </c>
      <c r="DJ51" s="27">
        <v>4.4299999999999999E-2</v>
      </c>
      <c r="DK51" s="27">
        <v>4.2099999999999999E-2</v>
      </c>
      <c r="DL51" s="27">
        <v>4.65E-2</v>
      </c>
      <c r="DM51" s="27">
        <v>4.2999999999999997E-2</v>
      </c>
      <c r="DN51" s="27">
        <v>4.5100000000000001E-2</v>
      </c>
      <c r="DO51" s="27">
        <v>4.3900000000000002E-2</v>
      </c>
      <c r="DP51" s="27">
        <v>4.1799999999999997E-2</v>
      </c>
      <c r="DQ51" s="27">
        <v>4.4299999999999999E-2</v>
      </c>
      <c r="DR51" s="27">
        <v>4.3499999999999997E-2</v>
      </c>
      <c r="DS51" s="27">
        <v>4.0500000000000001E-2</v>
      </c>
      <c r="DT51" s="27">
        <v>4.1700000000000001E-2</v>
      </c>
      <c r="DU51" s="27">
        <v>3.6999999999999998E-2</v>
      </c>
      <c r="DV51" s="27">
        <v>3.5400000000000001E-2</v>
      </c>
      <c r="DW51" s="27">
        <v>3.6799999999999999E-2</v>
      </c>
      <c r="DX51" s="27">
        <v>3.6600000000000001E-2</v>
      </c>
      <c r="DY51" s="27">
        <v>3.27E-2</v>
      </c>
      <c r="DZ51" s="27">
        <v>3.5499999999999997E-2</v>
      </c>
      <c r="EA51" s="27">
        <v>3.4500000000000003E-2</v>
      </c>
      <c r="EB51" s="27">
        <v>3.5700000000000003E-2</v>
      </c>
      <c r="EC51" s="27">
        <v>3.4700000000000002E-2</v>
      </c>
      <c r="ED51" s="27">
        <v>3.4700000000000002E-2</v>
      </c>
      <c r="EE51" s="27">
        <v>3.5400000000000001E-2</v>
      </c>
      <c r="EF51" s="27">
        <v>3.6200000000000003E-2</v>
      </c>
      <c r="EG51" s="27">
        <v>3.5299999999999998E-2</v>
      </c>
      <c r="EH51" s="27">
        <v>3.56E-2</v>
      </c>
      <c r="EI51" s="27">
        <v>3.3399999999999999E-2</v>
      </c>
      <c r="EJ51" s="27">
        <v>3.3700000000000001E-2</v>
      </c>
      <c r="EK51" s="27">
        <v>3.2800000000000003E-2</v>
      </c>
      <c r="EL51" s="27">
        <v>3.5000000000000003E-2</v>
      </c>
      <c r="EM51" s="27">
        <v>3.4099999999999998E-2</v>
      </c>
      <c r="EN51" s="27">
        <v>3.61E-2</v>
      </c>
      <c r="EO51" s="27">
        <v>3.6799999999999999E-2</v>
      </c>
      <c r="EP51" s="27">
        <v>3.5499999999999997E-2</v>
      </c>
      <c r="EQ51" s="27">
        <v>3.5400000000000001E-2</v>
      </c>
      <c r="ER51" s="27">
        <v>3.7199999999999997E-2</v>
      </c>
      <c r="ES51" s="27">
        <v>3.5000000000000003E-2</v>
      </c>
      <c r="ET51" s="27">
        <v>3.5700000000000003E-2</v>
      </c>
      <c r="EU51" s="27">
        <v>3.6400000000000002E-2</v>
      </c>
      <c r="EV51" s="27">
        <v>3.7199999999999997E-2</v>
      </c>
      <c r="EW51" s="27">
        <v>3.73E-2</v>
      </c>
      <c r="EX51" s="27">
        <v>3.7999999999999999E-2</v>
      </c>
      <c r="EY51" s="27">
        <v>3.56E-2</v>
      </c>
      <c r="EZ51" s="27">
        <v>3.7499999999999999E-2</v>
      </c>
      <c r="FA51" s="27">
        <v>3.6299999999999999E-2</v>
      </c>
      <c r="FB51" s="27">
        <v>3.6799999999999999E-2</v>
      </c>
      <c r="FC51" s="27">
        <v>3.8300000000000001E-2</v>
      </c>
      <c r="FD51" s="27">
        <v>3.7199999999999997E-2</v>
      </c>
      <c r="FE51" s="27">
        <v>3.6799999999999999E-2</v>
      </c>
      <c r="FF51" s="27">
        <v>3.6600000000000001E-2</v>
      </c>
      <c r="FG51" s="27">
        <v>3.5700000000000003E-2</v>
      </c>
      <c r="FH51" s="27">
        <v>3.6400000000000002E-2</v>
      </c>
      <c r="FI51" s="27">
        <v>3.44E-2</v>
      </c>
      <c r="FJ51" s="27">
        <v>3.6600000000000001E-2</v>
      </c>
      <c r="FK51" s="27">
        <v>3.5099999999999999E-2</v>
      </c>
      <c r="FL51" s="27">
        <v>3.44E-2</v>
      </c>
      <c r="FM51" s="27">
        <v>3.6299999999999999E-2</v>
      </c>
      <c r="FN51" s="27">
        <v>3.61E-2</v>
      </c>
      <c r="FO51" s="27">
        <v>3.4500000000000003E-2</v>
      </c>
      <c r="FP51" s="27">
        <v>3.56E-2</v>
      </c>
      <c r="FQ51" s="27">
        <v>3.5700000000000003E-2</v>
      </c>
      <c r="FR51" s="27">
        <v>3.4799999999999998E-2</v>
      </c>
      <c r="FS51" s="27">
        <v>3.6200000000000003E-2</v>
      </c>
      <c r="FT51" s="27">
        <v>3.5999999999999997E-2</v>
      </c>
      <c r="FU51" s="27">
        <v>3.6900000000000002E-2</v>
      </c>
      <c r="FV51" s="27">
        <v>3.5799999999999998E-2</v>
      </c>
      <c r="FW51" s="27">
        <v>3.6499999999999998E-2</v>
      </c>
      <c r="FX51" s="27">
        <v>3.4200000000000001E-2</v>
      </c>
      <c r="FY51" s="27">
        <v>3.85E-2</v>
      </c>
      <c r="FZ51" s="26">
        <v>3.6999999999999998E-2</v>
      </c>
      <c r="GA51" s="22">
        <v>3.6299999999999999E-2</v>
      </c>
      <c r="GB51" s="22">
        <v>3.4700000000000002E-2</v>
      </c>
      <c r="GC51" s="22">
        <v>3.5999999999999997E-2</v>
      </c>
      <c r="GD51" s="22">
        <v>3.6400000000000002E-2</v>
      </c>
      <c r="GE51" s="22">
        <v>3.6400000000000002E-2</v>
      </c>
      <c r="GF51" s="22">
        <v>3.49E-2</v>
      </c>
      <c r="GG51" s="27">
        <v>3.5400000000000001E-2</v>
      </c>
      <c r="GH51" s="26">
        <v>2.7099999999999999E-2</v>
      </c>
      <c r="GI51" s="26">
        <v>2.69E-2</v>
      </c>
      <c r="GJ51" s="22">
        <v>2.41E-2</v>
      </c>
      <c r="GK51" s="22">
        <v>2.3099999999999999E-2</v>
      </c>
      <c r="GL51" s="27">
        <v>2.1399999999999999E-2</v>
      </c>
      <c r="GM51" s="27">
        <v>2.4299999999999999E-2</v>
      </c>
      <c r="GN51" s="26">
        <v>2.1999999999999999E-2</v>
      </c>
      <c r="GO51" s="22">
        <v>2.1000000000000001E-2</v>
      </c>
      <c r="GP51" s="22">
        <v>2.4E-2</v>
      </c>
      <c r="GQ51" s="22">
        <v>1.9800000000000002E-2</v>
      </c>
      <c r="GR51" s="25">
        <v>2.0899999999999998E-2</v>
      </c>
      <c r="GS51" s="24">
        <v>2.1000000000000001E-2</v>
      </c>
      <c r="GT51" s="23">
        <v>2.06E-2</v>
      </c>
      <c r="GU51" s="22">
        <v>2.2499999999999999E-2</v>
      </c>
      <c r="GV51" s="25">
        <v>2.3300000000000001E-2</v>
      </c>
      <c r="GW51" s="24">
        <v>2.1999999999999999E-2</v>
      </c>
      <c r="GX51" s="23">
        <v>2.1299999999999999E-2</v>
      </c>
      <c r="GY51" s="22">
        <v>2.18E-2</v>
      </c>
      <c r="GZ51" s="22">
        <v>2.3800000000000002E-2</v>
      </c>
      <c r="HA51" s="25">
        <v>3.0700000000000002E-2</v>
      </c>
      <c r="HB51" s="25">
        <v>3.8300000000000001E-2</v>
      </c>
      <c r="HC51" s="25">
        <v>4.2599999999999999E-2</v>
      </c>
      <c r="HD51" s="25">
        <v>4.7399999999999998E-2</v>
      </c>
      <c r="HE51" s="25">
        <v>5.8299999999999998E-2</v>
      </c>
      <c r="HF51" s="25">
        <v>6.5600000000000006E-2</v>
      </c>
      <c r="HG51" s="25">
        <v>7.5800000000000006E-2</v>
      </c>
      <c r="HH51" s="25">
        <v>8.3500000000000005E-2</v>
      </c>
      <c r="HI51" s="25">
        <v>8.7499999999999994E-2</v>
      </c>
      <c r="HJ51" s="25">
        <v>8.6999999999999994E-2</v>
      </c>
      <c r="HK51" s="25">
        <v>8.9800000000000005E-2</v>
      </c>
      <c r="HL51" s="23">
        <v>8.8800000000000004E-2</v>
      </c>
      <c r="HM51" s="23">
        <v>8.9399999999999993E-2</v>
      </c>
      <c r="HN51" s="23">
        <v>8.7400000000000005E-2</v>
      </c>
      <c r="HO51" s="23">
        <v>9.1700000000000004E-2</v>
      </c>
      <c r="HP51" s="23">
        <v>8.5900000000000004E-2</v>
      </c>
      <c r="HQ51" s="23">
        <v>8.7499999999999994E-2</v>
      </c>
      <c r="HR51" s="23">
        <v>8.6800000000000002E-2</v>
      </c>
      <c r="HS51" s="23">
        <v>9.2399999999999996E-2</v>
      </c>
      <c r="HT51" s="23">
        <v>8.9200000000000002E-2</v>
      </c>
      <c r="HU51" s="23">
        <v>8.8099999999999998E-2</v>
      </c>
      <c r="HV51" s="23">
        <v>8.6400000000000005E-2</v>
      </c>
      <c r="HW51" s="23">
        <v>8.1000000000000003E-2</v>
      </c>
      <c r="HX51" s="23">
        <v>7.6300000000000007E-2</v>
      </c>
      <c r="HY51" s="22">
        <v>7.6300000000000007E-2</v>
      </c>
      <c r="HZ51" s="25">
        <v>7.7899999999999997E-2</v>
      </c>
      <c r="IA51" s="23">
        <v>7.9000000000000001E-2</v>
      </c>
      <c r="IB51" s="23">
        <v>7.6799999999999993E-2</v>
      </c>
      <c r="IC51" s="22">
        <v>7.6700000000000004E-2</v>
      </c>
      <c r="ID51" s="22">
        <v>7.6700000000000004E-2</v>
      </c>
      <c r="IE51" s="25">
        <v>7.6700000000000004E-2</v>
      </c>
      <c r="IF51" s="24">
        <v>7.6600000000000001E-2</v>
      </c>
      <c r="IG51" s="24">
        <v>7.6300000000000007E-2</v>
      </c>
      <c r="IH51" s="24">
        <v>7.5600000000000001E-2</v>
      </c>
      <c r="II51" s="25">
        <v>7.5499999999999998E-2</v>
      </c>
      <c r="IJ51" s="25">
        <v>7.6100000000000001E-2</v>
      </c>
      <c r="IK51" s="25">
        <v>7.5899999999999995E-2</v>
      </c>
      <c r="IL51" s="25">
        <v>7.6799999999999993E-2</v>
      </c>
      <c r="IM51" s="24">
        <v>7.5899999999999995E-2</v>
      </c>
      <c r="IN51" s="23">
        <v>7.5999999999999998E-2</v>
      </c>
      <c r="IO51" s="22">
        <v>7.6600000000000001E-2</v>
      </c>
      <c r="IP51" s="25">
        <v>7.2800000000000004E-2</v>
      </c>
      <c r="IQ51" s="25">
        <v>7.3200000000000001E-2</v>
      </c>
      <c r="IR51" s="24">
        <v>7.1099999999999997E-2</v>
      </c>
      <c r="IS51" s="24">
        <v>6.9400000000000003E-2</v>
      </c>
      <c r="IT51" s="24">
        <v>7.0400000000000004E-2</v>
      </c>
      <c r="IU51" s="24">
        <v>6.6199999999999995E-2</v>
      </c>
      <c r="IV51" s="25">
        <v>6.5000000000000002E-2</v>
      </c>
      <c r="IW51" s="25">
        <v>6.0499999999999998E-2</v>
      </c>
      <c r="IX51" s="25">
        <v>5.8400000000000001E-2</v>
      </c>
      <c r="IY51" s="23">
        <v>5.6099999999999997E-2</v>
      </c>
      <c r="IZ51" s="22">
        <v>5.5300000000000002E-2</v>
      </c>
      <c r="JA51" s="22">
        <v>5.6800000000000003E-2</v>
      </c>
      <c r="JB51" s="22">
        <v>5.7200000000000001E-2</v>
      </c>
      <c r="JC51" s="24">
        <v>5.5199999999999999E-2</v>
      </c>
      <c r="JD51" s="23">
        <v>5.6500000000000002E-2</v>
      </c>
      <c r="JE51" s="22">
        <v>5.7299999999999997E-2</v>
      </c>
    </row>
    <row r="52" spans="1:265" ht="12.75" customHeight="1">
      <c r="A52" s="60"/>
      <c r="B52" s="61" t="s">
        <v>19</v>
      </c>
      <c r="C52" s="60"/>
      <c r="D52" s="60"/>
      <c r="E52" s="20">
        <v>50</v>
      </c>
      <c r="F52" s="19" t="s">
        <v>18</v>
      </c>
      <c r="G52" s="18">
        <v>9.1399999999999995E-2</v>
      </c>
      <c r="H52" s="18">
        <v>8.9399999999999993E-2</v>
      </c>
      <c r="I52" s="18">
        <v>8.7099999999999997E-2</v>
      </c>
      <c r="J52" s="18">
        <v>8.5300000000000001E-2</v>
      </c>
      <c r="K52" s="18">
        <v>8.0399999999999999E-2</v>
      </c>
      <c r="L52" s="18">
        <v>7.8700000000000006E-2</v>
      </c>
      <c r="M52" s="18">
        <v>7.5300000000000006E-2</v>
      </c>
      <c r="N52" s="18">
        <v>7.2499999999999995E-2</v>
      </c>
      <c r="O52" s="18">
        <v>7.1099999999999997E-2</v>
      </c>
      <c r="P52" s="18">
        <v>7.6499999999999999E-2</v>
      </c>
      <c r="Q52" s="18">
        <v>7.4300000000000005E-2</v>
      </c>
      <c r="R52" s="18">
        <v>7.3200000000000001E-2</v>
      </c>
      <c r="S52" s="18">
        <v>7.2800000000000004E-2</v>
      </c>
      <c r="T52" s="18">
        <v>6.9199999999999998E-2</v>
      </c>
      <c r="U52" s="18">
        <v>7.1999999999999995E-2</v>
      </c>
      <c r="V52" s="18">
        <v>7.5200000000000003E-2</v>
      </c>
      <c r="W52" s="18">
        <v>7.3099999999999998E-2</v>
      </c>
      <c r="X52" s="18">
        <v>7.0199999999999999E-2</v>
      </c>
      <c r="Y52" s="18">
        <v>6.7799999999999999E-2</v>
      </c>
      <c r="Z52" s="18">
        <v>7.1400000000000005E-2</v>
      </c>
      <c r="AA52" s="18">
        <v>7.1400000000000005E-2</v>
      </c>
      <c r="AB52" s="18">
        <v>7.2099999999999997E-2</v>
      </c>
      <c r="AC52" s="18">
        <v>7.0999999999999994E-2</v>
      </c>
      <c r="AD52" s="18">
        <v>6.3299999999999995E-2</v>
      </c>
      <c r="AE52" s="18">
        <v>7.4300000000000005E-2</v>
      </c>
      <c r="AF52" s="18">
        <v>7.7299999999999994E-2</v>
      </c>
      <c r="AG52" s="18">
        <v>7.5200000000000003E-2</v>
      </c>
      <c r="AH52" s="18">
        <v>7.3099999999999998E-2</v>
      </c>
      <c r="AI52" s="18">
        <v>7.85E-2</v>
      </c>
      <c r="AJ52" s="18">
        <v>7.46E-2</v>
      </c>
      <c r="AK52" s="18">
        <v>7.8799999999999995E-2</v>
      </c>
      <c r="AL52" s="18">
        <v>8.1500000000000003E-2</v>
      </c>
      <c r="AM52" s="18">
        <v>8.3199999999999996E-2</v>
      </c>
      <c r="AN52" s="18">
        <v>8.2100000000000006E-2</v>
      </c>
      <c r="AO52" s="18">
        <v>8.4599999999999995E-2</v>
      </c>
      <c r="AP52" s="18">
        <v>8.6199999999999999E-2</v>
      </c>
      <c r="AQ52" s="18">
        <v>8.8200000000000001E-2</v>
      </c>
      <c r="AR52" s="18">
        <v>9.0800000000000006E-2</v>
      </c>
      <c r="AS52" s="18">
        <v>9.1999999999999998E-2</v>
      </c>
      <c r="AT52" s="18">
        <v>0.10009999999999999</v>
      </c>
      <c r="AU52" s="18">
        <v>0.1012</v>
      </c>
      <c r="AV52" s="18">
        <v>0.1038</v>
      </c>
      <c r="AW52" s="18">
        <v>0.1021</v>
      </c>
      <c r="AX52" s="18">
        <v>0.1031</v>
      </c>
      <c r="AY52" s="18">
        <v>0.1053</v>
      </c>
      <c r="AZ52" s="18">
        <v>0.1011</v>
      </c>
      <c r="BA52" s="18">
        <v>0.10920000000000001</v>
      </c>
      <c r="BB52" s="18">
        <v>0.1037</v>
      </c>
      <c r="BC52" s="18">
        <v>0.10340000000000001</v>
      </c>
      <c r="BD52" s="18">
        <v>9.7799999999999998E-2</v>
      </c>
      <c r="BE52" s="18">
        <v>9.4500000000000001E-2</v>
      </c>
      <c r="BF52" s="18">
        <v>9.9000000000000005E-2</v>
      </c>
      <c r="BG52" s="18">
        <v>9.6199999999999994E-2</v>
      </c>
      <c r="BH52" s="18">
        <v>9.6600000000000005E-2</v>
      </c>
      <c r="BI52" s="18">
        <v>9.2399999999999996E-2</v>
      </c>
      <c r="BJ52" s="18">
        <v>9.35E-2</v>
      </c>
      <c r="BK52" s="18">
        <v>9.5500000000000002E-2</v>
      </c>
      <c r="BL52" s="18">
        <v>0.08</v>
      </c>
      <c r="BM52" s="18">
        <v>8.8700000000000001E-2</v>
      </c>
      <c r="BN52" s="18">
        <v>8.5500000000000007E-2</v>
      </c>
      <c r="BO52" s="18">
        <v>8.8400000000000006E-2</v>
      </c>
      <c r="BP52" s="18">
        <v>8.9499999999999996E-2</v>
      </c>
      <c r="BQ52" s="18">
        <v>9.1300000000000006E-2</v>
      </c>
      <c r="BR52" s="18">
        <v>8.8800000000000004E-2</v>
      </c>
      <c r="BS52" s="18">
        <v>8.7999999999999995E-2</v>
      </c>
      <c r="BT52" s="18">
        <v>8.4400000000000003E-2</v>
      </c>
      <c r="BU52" s="18">
        <v>8.4699999999999998E-2</v>
      </c>
      <c r="BV52" s="18">
        <v>8.2199999999999995E-2</v>
      </c>
      <c r="BW52" s="18">
        <v>7.6100000000000001E-2</v>
      </c>
      <c r="BX52" s="18">
        <v>8.0100000000000005E-2</v>
      </c>
      <c r="BY52" s="18">
        <v>8.0600000000000005E-2</v>
      </c>
      <c r="BZ52" s="18">
        <v>7.5300000000000006E-2</v>
      </c>
      <c r="CA52" s="18">
        <v>8.4099999999999994E-2</v>
      </c>
      <c r="CB52" s="18">
        <v>8.5800000000000001E-2</v>
      </c>
      <c r="CC52" s="18">
        <v>8.1900000000000001E-2</v>
      </c>
      <c r="CD52" s="18">
        <v>8.3400000000000002E-2</v>
      </c>
      <c r="CE52" s="18">
        <v>8.5300000000000001E-2</v>
      </c>
      <c r="CF52" s="18">
        <v>8.2000000000000003E-2</v>
      </c>
      <c r="CG52" s="18">
        <v>8.7499999999999994E-2</v>
      </c>
      <c r="CH52" s="18">
        <v>8.5900000000000004E-2</v>
      </c>
      <c r="CI52" s="18">
        <v>8.5199999999999998E-2</v>
      </c>
      <c r="CJ52" s="18">
        <v>8.48E-2</v>
      </c>
      <c r="CK52" s="18">
        <v>8.7900000000000006E-2</v>
      </c>
      <c r="CL52" s="18">
        <v>8.0299999999999996E-2</v>
      </c>
      <c r="CM52" s="18">
        <v>8.5099999999999995E-2</v>
      </c>
      <c r="CN52" s="18">
        <v>8.5900000000000004E-2</v>
      </c>
      <c r="CO52" s="18">
        <v>8.4400000000000003E-2</v>
      </c>
      <c r="CP52" s="18">
        <v>8.77E-2</v>
      </c>
      <c r="CQ52" s="18">
        <v>8.8900000000000007E-2</v>
      </c>
      <c r="CR52" s="18">
        <v>8.7800000000000003E-2</v>
      </c>
      <c r="CS52" s="18">
        <v>8.8200000000000001E-2</v>
      </c>
      <c r="CT52" s="18">
        <v>9.11E-2</v>
      </c>
      <c r="CU52" s="18">
        <v>8.8300000000000003E-2</v>
      </c>
      <c r="CV52" s="18">
        <v>9.1200000000000003E-2</v>
      </c>
      <c r="CW52" s="18">
        <v>8.8700000000000001E-2</v>
      </c>
      <c r="CX52" s="18">
        <v>7.7799999999999994E-2</v>
      </c>
      <c r="CY52" s="18">
        <v>7.9899999999999999E-2</v>
      </c>
      <c r="CZ52" s="18">
        <v>8.14E-2</v>
      </c>
      <c r="DA52" s="18">
        <v>8.09E-2</v>
      </c>
      <c r="DB52" s="18">
        <v>7.6100000000000001E-2</v>
      </c>
      <c r="DC52" s="18">
        <v>8.1500000000000003E-2</v>
      </c>
      <c r="DD52" s="18">
        <v>6.8900000000000003E-2</v>
      </c>
      <c r="DE52" s="18">
        <v>7.3400000000000007E-2</v>
      </c>
      <c r="DF52" s="18">
        <v>7.2099999999999997E-2</v>
      </c>
      <c r="DG52" s="18">
        <v>7.0300000000000001E-2</v>
      </c>
      <c r="DH52" s="18">
        <v>7.2599999999999998E-2</v>
      </c>
      <c r="DI52" s="18">
        <v>7.1199999999999999E-2</v>
      </c>
      <c r="DJ52" s="18">
        <v>6.25E-2</v>
      </c>
      <c r="DK52" s="18">
        <v>6.8000000000000005E-2</v>
      </c>
      <c r="DL52" s="18">
        <v>7.17E-2</v>
      </c>
      <c r="DM52" s="18">
        <v>6.8400000000000002E-2</v>
      </c>
      <c r="DN52" s="18">
        <v>7.0400000000000004E-2</v>
      </c>
      <c r="DO52" s="18">
        <v>6.7299999999999999E-2</v>
      </c>
      <c r="DP52" s="18">
        <v>6.7900000000000002E-2</v>
      </c>
      <c r="DQ52" s="18">
        <v>6.93E-2</v>
      </c>
      <c r="DR52" s="18">
        <v>6.7599999999999993E-2</v>
      </c>
      <c r="DS52" s="18">
        <v>6.2600000000000003E-2</v>
      </c>
      <c r="DT52" s="18">
        <v>6.1800000000000001E-2</v>
      </c>
      <c r="DU52" s="18">
        <v>5.7500000000000002E-2</v>
      </c>
      <c r="DV52" s="18">
        <v>5.33E-2</v>
      </c>
      <c r="DW52" s="18">
        <v>5.7200000000000001E-2</v>
      </c>
      <c r="DX52" s="18">
        <v>5.8000000000000003E-2</v>
      </c>
      <c r="DY52" s="18">
        <v>5.0999999999999997E-2</v>
      </c>
      <c r="DZ52" s="18">
        <v>5.2999999999999999E-2</v>
      </c>
      <c r="EA52" s="18">
        <v>5.1999999999999998E-2</v>
      </c>
      <c r="EB52" s="18">
        <v>5.1799999999999999E-2</v>
      </c>
      <c r="EC52" s="18">
        <v>5.1200000000000002E-2</v>
      </c>
      <c r="ED52" s="18">
        <v>5.1700000000000003E-2</v>
      </c>
      <c r="EE52" s="18">
        <v>4.7699999999999999E-2</v>
      </c>
      <c r="EF52" s="18">
        <v>5.1400000000000001E-2</v>
      </c>
      <c r="EG52" s="18">
        <v>5.0299999999999997E-2</v>
      </c>
      <c r="EH52" s="18">
        <v>4.7899999999999998E-2</v>
      </c>
      <c r="EI52" s="18">
        <v>4.7399999999999998E-2</v>
      </c>
      <c r="EJ52" s="18">
        <v>5.0799999999999998E-2</v>
      </c>
      <c r="EK52" s="18">
        <v>4.9000000000000002E-2</v>
      </c>
      <c r="EL52" s="18">
        <v>5.1499999999999997E-2</v>
      </c>
      <c r="EM52" s="18">
        <v>5.16E-2</v>
      </c>
      <c r="EN52" s="18">
        <v>5.0599999999999999E-2</v>
      </c>
      <c r="EO52" s="18">
        <v>0.05</v>
      </c>
      <c r="EP52" s="18">
        <v>4.99E-2</v>
      </c>
      <c r="EQ52" s="18">
        <v>4.9299999999999997E-2</v>
      </c>
      <c r="ER52" s="18">
        <v>5.1299999999999998E-2</v>
      </c>
      <c r="ES52" s="18">
        <v>4.8899999999999999E-2</v>
      </c>
      <c r="ET52" s="18">
        <v>4.8500000000000001E-2</v>
      </c>
      <c r="EU52" s="18">
        <v>5.0599999999999999E-2</v>
      </c>
      <c r="EV52" s="18">
        <v>5.2200000000000003E-2</v>
      </c>
      <c r="EW52" s="18">
        <v>5.0099999999999999E-2</v>
      </c>
      <c r="EX52" s="18">
        <v>5.0299999999999997E-2</v>
      </c>
      <c r="EY52" s="18">
        <v>5.1700000000000003E-2</v>
      </c>
      <c r="EZ52" s="18">
        <v>4.8099999999999997E-2</v>
      </c>
      <c r="FA52" s="18">
        <v>5.0200000000000002E-2</v>
      </c>
      <c r="FB52" s="18">
        <v>5.0599999999999999E-2</v>
      </c>
      <c r="FC52" s="18">
        <v>5.1700000000000003E-2</v>
      </c>
      <c r="FD52" s="18">
        <v>5.0599999999999999E-2</v>
      </c>
      <c r="FE52" s="18">
        <v>5.0500000000000003E-2</v>
      </c>
      <c r="FF52" s="18">
        <v>4.6399999999999997E-2</v>
      </c>
      <c r="FG52" s="18">
        <v>5.0299999999999997E-2</v>
      </c>
      <c r="FH52" s="18">
        <v>5.1400000000000001E-2</v>
      </c>
      <c r="FI52" s="18">
        <v>5.0299999999999997E-2</v>
      </c>
      <c r="FJ52" s="18">
        <v>5.0900000000000001E-2</v>
      </c>
      <c r="FK52" s="18">
        <v>5.0900000000000001E-2</v>
      </c>
      <c r="FL52" s="18">
        <v>5.0900000000000001E-2</v>
      </c>
      <c r="FM52" s="18">
        <v>5.1999999999999998E-2</v>
      </c>
      <c r="FN52" s="18">
        <v>5.1200000000000002E-2</v>
      </c>
      <c r="FO52" s="18">
        <v>5.0099999999999999E-2</v>
      </c>
      <c r="FP52" s="18">
        <v>5.1799999999999999E-2</v>
      </c>
      <c r="FQ52" s="18">
        <v>5.0299999999999997E-2</v>
      </c>
      <c r="FR52" s="18">
        <v>4.7500000000000001E-2</v>
      </c>
      <c r="FS52" s="18">
        <v>5.1700000000000003E-2</v>
      </c>
      <c r="FT52" s="18">
        <v>5.2600000000000001E-2</v>
      </c>
      <c r="FU52" s="18">
        <v>5.2699999999999997E-2</v>
      </c>
      <c r="FV52" s="18">
        <v>5.1999999999999998E-2</v>
      </c>
      <c r="FW52" s="18">
        <v>5.33E-2</v>
      </c>
      <c r="FX52" s="18">
        <v>4.9599999999999998E-2</v>
      </c>
      <c r="FY52" s="18">
        <v>5.2699999999999997E-2</v>
      </c>
      <c r="FZ52" s="17">
        <v>5.1999999999999998E-2</v>
      </c>
      <c r="GA52" s="13">
        <v>5.1999999999999998E-2</v>
      </c>
      <c r="GB52" s="13">
        <v>4.9599999999999998E-2</v>
      </c>
      <c r="GC52" s="13">
        <v>5.0799999999999998E-2</v>
      </c>
      <c r="GD52" s="13">
        <v>4.87E-2</v>
      </c>
      <c r="GE52" s="13">
        <v>5.0700000000000002E-2</v>
      </c>
      <c r="GF52" s="13">
        <v>5.28E-2</v>
      </c>
      <c r="GG52" s="18">
        <v>4.7800000000000002E-2</v>
      </c>
      <c r="GH52" s="17">
        <v>3.8300000000000001E-2</v>
      </c>
      <c r="GI52" s="17">
        <v>3.9300000000000002E-2</v>
      </c>
      <c r="GJ52" s="13">
        <v>3.5400000000000001E-2</v>
      </c>
      <c r="GK52" s="13">
        <v>3.6600000000000001E-2</v>
      </c>
      <c r="GL52" s="18">
        <v>3.6299999999999999E-2</v>
      </c>
      <c r="GM52" s="18">
        <v>3.6999999999999998E-2</v>
      </c>
      <c r="GN52" s="17">
        <v>3.5200000000000002E-2</v>
      </c>
      <c r="GO52" s="13">
        <v>3.3500000000000002E-2</v>
      </c>
      <c r="GP52" s="13">
        <v>3.39E-2</v>
      </c>
      <c r="GQ52" s="13">
        <v>3.5000000000000003E-2</v>
      </c>
      <c r="GR52" s="16">
        <v>3.5000000000000003E-2</v>
      </c>
      <c r="GS52" s="15">
        <v>3.39E-2</v>
      </c>
      <c r="GT52" s="14">
        <v>3.5099999999999999E-2</v>
      </c>
      <c r="GU52" s="13">
        <v>3.5700000000000003E-2</v>
      </c>
      <c r="GV52" s="16">
        <v>3.56E-2</v>
      </c>
      <c r="GW52" s="15">
        <v>3.5799999999999998E-2</v>
      </c>
      <c r="GX52" s="14">
        <v>3.5499999999999997E-2</v>
      </c>
      <c r="GY52" s="13">
        <v>3.4299999999999997E-2</v>
      </c>
      <c r="GZ52" s="13">
        <v>3.5299999999999998E-2</v>
      </c>
      <c r="HA52" s="16">
        <v>4.1700000000000001E-2</v>
      </c>
      <c r="HB52" s="16">
        <v>4.7300000000000002E-2</v>
      </c>
      <c r="HC52" s="16">
        <v>5.5300000000000002E-2</v>
      </c>
      <c r="HD52" s="16">
        <v>5.9400000000000001E-2</v>
      </c>
      <c r="HE52" s="16">
        <v>6.6500000000000004E-2</v>
      </c>
      <c r="HF52" s="16">
        <v>7.3200000000000001E-2</v>
      </c>
      <c r="HG52" s="16">
        <v>8.3000000000000004E-2</v>
      </c>
      <c r="HH52" s="16">
        <v>9.0300000000000005E-2</v>
      </c>
      <c r="HI52" s="16">
        <v>9.5299999999999996E-2</v>
      </c>
      <c r="HJ52" s="16">
        <v>9.6100000000000005E-2</v>
      </c>
      <c r="HK52" s="16">
        <v>9.9199999999999997E-2</v>
      </c>
      <c r="HL52" s="14">
        <v>9.8900000000000002E-2</v>
      </c>
      <c r="HM52" s="14">
        <v>9.8400000000000001E-2</v>
      </c>
      <c r="HN52" s="14">
        <v>9.7000000000000003E-2</v>
      </c>
      <c r="HO52" s="14">
        <v>9.9699999999999997E-2</v>
      </c>
      <c r="HP52" s="14">
        <v>9.8299999999999998E-2</v>
      </c>
      <c r="HQ52" s="14">
        <v>9.8699999999999996E-2</v>
      </c>
      <c r="HR52" s="14">
        <v>9.9099999999999994E-2</v>
      </c>
      <c r="HS52" s="14">
        <v>0.10009999999999999</v>
      </c>
      <c r="HT52" s="14">
        <v>9.9599999999999994E-2</v>
      </c>
      <c r="HU52" s="14">
        <v>9.9000000000000005E-2</v>
      </c>
      <c r="HV52" s="14">
        <v>9.7100000000000006E-2</v>
      </c>
      <c r="HW52" s="14">
        <v>9.2399999999999996E-2</v>
      </c>
      <c r="HX52" s="14">
        <v>8.9899999999999994E-2</v>
      </c>
      <c r="HY52" s="13">
        <v>8.7900000000000006E-2</v>
      </c>
      <c r="HZ52" s="16">
        <v>8.6800000000000002E-2</v>
      </c>
      <c r="IA52" s="14">
        <v>8.8400000000000006E-2</v>
      </c>
      <c r="IB52" s="14">
        <v>8.8200000000000001E-2</v>
      </c>
      <c r="IC52" s="13">
        <v>8.77E-2</v>
      </c>
      <c r="ID52" s="13">
        <v>9.1200000000000003E-2</v>
      </c>
      <c r="IE52" s="16">
        <v>9.3600000000000003E-2</v>
      </c>
      <c r="IF52" s="15">
        <v>9.1800000000000007E-2</v>
      </c>
      <c r="IG52" s="15">
        <v>9.4799999999999995E-2</v>
      </c>
      <c r="IH52" s="15">
        <v>9.3399999999999997E-2</v>
      </c>
      <c r="II52" s="16">
        <v>9.3100000000000002E-2</v>
      </c>
      <c r="IJ52" s="16">
        <v>9.1499999999999998E-2</v>
      </c>
      <c r="IK52" s="16">
        <v>9.0300000000000005E-2</v>
      </c>
      <c r="IL52" s="16">
        <v>8.7900000000000006E-2</v>
      </c>
      <c r="IM52" s="15">
        <v>9.3200000000000005E-2</v>
      </c>
      <c r="IN52" s="14">
        <v>9.35E-2</v>
      </c>
      <c r="IO52" s="13">
        <v>9.2799999999999994E-2</v>
      </c>
      <c r="IP52" s="16">
        <v>8.9700000000000002E-2</v>
      </c>
      <c r="IQ52" s="16">
        <v>8.8900000000000007E-2</v>
      </c>
      <c r="IR52" s="15">
        <v>8.72E-2</v>
      </c>
      <c r="IS52" s="15">
        <v>8.6099999999999996E-2</v>
      </c>
      <c r="IT52" s="15">
        <v>8.4699999999999998E-2</v>
      </c>
      <c r="IU52" s="15">
        <v>8.1199999999999994E-2</v>
      </c>
      <c r="IV52" s="16">
        <v>8.1600000000000006E-2</v>
      </c>
      <c r="IW52" s="16">
        <v>7.6200000000000004E-2</v>
      </c>
      <c r="IX52" s="16">
        <v>7.3200000000000001E-2</v>
      </c>
      <c r="IY52" s="14">
        <v>7.5300000000000006E-2</v>
      </c>
      <c r="IZ52" s="13">
        <v>7.3300000000000004E-2</v>
      </c>
      <c r="JA52" s="13">
        <v>7.2499999999999995E-2</v>
      </c>
      <c r="JB52" s="13">
        <v>7.46E-2</v>
      </c>
      <c r="JC52" s="15">
        <v>7.3899999999999993E-2</v>
      </c>
      <c r="JD52" s="14">
        <v>7.4200000000000002E-2</v>
      </c>
      <c r="JE52" s="13">
        <v>7.2099999999999997E-2</v>
      </c>
    </row>
    <row r="54" spans="1:265">
      <c r="A54" s="11" t="s">
        <v>17</v>
      </c>
    </row>
    <row r="55" spans="1:265">
      <c r="A55" s="12" t="s">
        <v>16</v>
      </c>
    </row>
    <row r="56" spans="1:265">
      <c r="A56" s="11" t="s">
        <v>15</v>
      </c>
    </row>
    <row r="58" spans="1:265">
      <c r="A58" s="9" t="s">
        <v>14</v>
      </c>
      <c r="B58" s="10"/>
      <c r="C58" s="9"/>
    </row>
  </sheetData>
  <mergeCells count="19">
    <mergeCell ref="C22:C26"/>
    <mergeCell ref="C31:C34"/>
    <mergeCell ref="A16:A52"/>
    <mergeCell ref="B36:B51"/>
    <mergeCell ref="C51:D51"/>
    <mergeCell ref="B52:D52"/>
    <mergeCell ref="B15:D15"/>
    <mergeCell ref="A3:A15"/>
    <mergeCell ref="B16:B35"/>
    <mergeCell ref="C41:C45"/>
    <mergeCell ref="C46:C50"/>
    <mergeCell ref="C35:D35"/>
    <mergeCell ref="C36:C40"/>
    <mergeCell ref="C3:C8"/>
    <mergeCell ref="B9:B14"/>
    <mergeCell ref="C9:C14"/>
    <mergeCell ref="B3:B8"/>
    <mergeCell ref="C27:C30"/>
    <mergeCell ref="C16:C2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B9E0-A053-43B2-8D89-1651212D17D9}">
  <dimension ref="A1:S9014"/>
  <sheetViews>
    <sheetView zoomScale="70" zoomScaleNormal="70" workbookViewId="0">
      <pane xSplit="1" topLeftCell="B1" activePane="topRight" state="frozen"/>
      <selection pane="topRight" activeCell="L2" sqref="L2"/>
    </sheetView>
  </sheetViews>
  <sheetFormatPr defaultRowHeight="14.25"/>
  <cols>
    <col min="1" max="1" width="10.12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0.625" bestFit="1" customWidth="1"/>
    <col min="10" max="10" width="13.75" bestFit="1" customWidth="1"/>
    <col min="11" max="11" width="20.5" bestFit="1" customWidth="1"/>
    <col min="12" max="12" width="12" bestFit="1" customWidth="1"/>
    <col min="13" max="13" width="11.625" bestFit="1" customWidth="1"/>
    <col min="14" max="14" width="11" bestFit="1" customWidth="1"/>
    <col min="15" max="16" width="11.75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v>600</v>
      </c>
      <c r="J2" s="46">
        <v>400</v>
      </c>
      <c r="K2">
        <v>25000</v>
      </c>
      <c r="L2">
        <v>100000</v>
      </c>
    </row>
    <row r="3" spans="1:19">
      <c r="I3" s="62">
        <v>1000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123</v>
      </c>
      <c r="J4" t="s">
        <v>124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 s="5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1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849.61856183528505</v>
      </c>
      <c r="J28" s="50">
        <f>$J$2*(1+E28)</f>
        <v>414.40000000000003</v>
      </c>
      <c r="K28" s="51">
        <f t="shared" ref="K28:K76" si="2">I28+J28</f>
        <v>1264.018561835285</v>
      </c>
      <c r="L28" s="51">
        <f>K28-$I$3</f>
        <v>264.01856183528503</v>
      </c>
      <c r="M28">
        <f>((J28-MIN(J28,$K$2))+(I28-MIN(I28,MAX($L$2-MIN(J28,$K$2),0))))*R28</f>
        <v>0</v>
      </c>
      <c r="N28" s="51">
        <f>0.19*L28</f>
        <v>50.163526748704157</v>
      </c>
      <c r="O28" s="53">
        <f>K28-M28</f>
        <v>1264.018561835285</v>
      </c>
      <c r="P28" s="53">
        <f>K28-N28</f>
        <v>1213.8550350865808</v>
      </c>
      <c r="Q28">
        <v>3.3099999999999997E-2</v>
      </c>
      <c r="R28">
        <f>MAX(0.19*Q14,0.1%)</f>
        <v>6.8780000000000004E-3</v>
      </c>
      <c r="S28" s="56">
        <f>O28-P28</f>
        <v>50.163526748704271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662.32728752899618</v>
      </c>
      <c r="J40" s="50">
        <f>$J$2*(1+E40)</f>
        <v>413.23999999999995</v>
      </c>
      <c r="K40" s="51">
        <f t="shared" si="2"/>
        <v>1075.5672875289961</v>
      </c>
      <c r="L40" s="51">
        <f>K40-$I$3</f>
        <v>75.567287528996076</v>
      </c>
      <c r="M40">
        <f>((J28-MIN(J28,$K$2))+(I28-MIN(I28,MAX($L$2-MIN(J28,$K$2),0))))*R28</f>
        <v>0</v>
      </c>
      <c r="N40" s="51">
        <f>0.19*L40</f>
        <v>14.357784630509254</v>
      </c>
      <c r="O40" s="53">
        <f>K40-M40</f>
        <v>1075.5672875289961</v>
      </c>
      <c r="P40" s="53">
        <f>K40-N40</f>
        <v>1061.2095028984868</v>
      </c>
      <c r="Q40">
        <v>4.1599999999999998E-2</v>
      </c>
      <c r="R40">
        <f>MAX(0.19*Q26,0.1%)</f>
        <v>6.4219999999999998E-3</v>
      </c>
      <c r="S40" s="56">
        <f>O40-P40</f>
        <v>14.357784630509286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293.57794472235929</v>
      </c>
      <c r="J52" s="50">
        <f>$J$2*(1+E52)</f>
        <v>416.64000000000004</v>
      </c>
      <c r="K52" s="51">
        <f t="shared" si="2"/>
        <v>710.21794472235933</v>
      </c>
      <c r="L52" s="51">
        <f>K52-$I$3</f>
        <v>-289.78205527764067</v>
      </c>
      <c r="M52">
        <f>((J28-MIN(J28,$K$2))+(I28-MIN(I28,MAX($L$2-MIN(J28,$K$2),0))))*R28</f>
        <v>0</v>
      </c>
      <c r="N52" s="51">
        <v>0</v>
      </c>
      <c r="O52" s="53">
        <f>K52-M52</f>
        <v>710.21794472235933</v>
      </c>
      <c r="P52" s="53">
        <f>K52-N52</f>
        <v>710.21794472235933</v>
      </c>
      <c r="Q52">
        <v>6.5199999999999994E-2</v>
      </c>
      <c r="R52">
        <f>MAX(0.19*Q38,0.1%)</f>
        <v>7.6570000000000006E-3</v>
      </c>
      <c r="S52" s="56">
        <f>O52-P52</f>
        <v>0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881.11613360050296</v>
      </c>
      <c r="J64" s="50">
        <f>$J$2*(1+E64)</f>
        <v>426.08</v>
      </c>
      <c r="K64" s="51">
        <f t="shared" si="2"/>
        <v>1307.1961336005029</v>
      </c>
      <c r="L64" s="51">
        <f>K64-$I$3</f>
        <v>307.19613360050289</v>
      </c>
      <c r="M64">
        <f>((J28-MIN(J28,$K$2))+(I28-MIN(I28,MAX($L$2-MIN(J28,$K$2),0))))*R28</f>
        <v>0</v>
      </c>
      <c r="N64" s="51">
        <f>0.19*L64</f>
        <v>58.367265384095546</v>
      </c>
      <c r="O64" s="53">
        <f>K64-M64</f>
        <v>1307.1961336005029</v>
      </c>
      <c r="P64" s="53">
        <f>K64-N64</f>
        <v>1248.8288682164073</v>
      </c>
      <c r="Q64">
        <v>4.0300000000000002E-2</v>
      </c>
      <c r="R64">
        <f>MAX(0.19*Q50,0.1%)</f>
        <v>1.1609000000000001E-2</v>
      </c>
      <c r="S64" s="56">
        <f>O64-P64</f>
        <v>58.367265384095617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712.59823753269586</v>
      </c>
      <c r="J76" s="50">
        <f>$J$2*(1+E76)</f>
        <v>416.12</v>
      </c>
      <c r="K76" s="51">
        <f t="shared" si="2"/>
        <v>1128.7182375326959</v>
      </c>
      <c r="L76" s="51">
        <f>K76-$I$3</f>
        <v>128.71823753269587</v>
      </c>
      <c r="M76">
        <f>((J28-MIN(J28,$K$2))+(I28-MIN(I28,MAX($L$2-MIN(J28,$K$2),0))))*R28</f>
        <v>0</v>
      </c>
      <c r="N76" s="51">
        <f>0.19*L76</f>
        <v>24.456465131212216</v>
      </c>
      <c r="O76" s="53">
        <f>K76-M76</f>
        <v>1128.7182375326959</v>
      </c>
      <c r="P76" s="53">
        <f>K76-N76</f>
        <v>1104.2617724014835</v>
      </c>
      <c r="Q76">
        <v>3.56E-2</v>
      </c>
      <c r="R76">
        <f>MAX(0.19*Q62,0.1%)</f>
        <v>8.0750000000000006E-3</v>
      </c>
      <c r="S76" s="56">
        <f>O76-P76</f>
        <v>24.456465131212326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ref="E82:E145" si="5">C70</f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si="5"/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474.99066643840763</v>
      </c>
      <c r="J88" s="50">
        <f>$J$2*(1+E88)</f>
        <v>414.24</v>
      </c>
      <c r="K88" s="51">
        <f t="shared" ref="K88:K136" si="6">I88+J88</f>
        <v>889.23066643840764</v>
      </c>
      <c r="L88" s="51">
        <f>K88-$I$3</f>
        <v>-110.76933356159236</v>
      </c>
      <c r="M88">
        <f>((J28-MIN(J28,$K$2))+(I28-MIN(I28,MAX($L$2-MIN(J28,$K$2),0))))*R28</f>
        <v>0</v>
      </c>
      <c r="N88" s="51">
        <v>0</v>
      </c>
      <c r="O88" s="53">
        <f>K88-M88</f>
        <v>889.23066643840764</v>
      </c>
      <c r="P88" s="53">
        <f>K88-N88</f>
        <v>889.23066643840764</v>
      </c>
      <c r="Q88">
        <v>4.7300000000000002E-2</v>
      </c>
      <c r="R88">
        <f>MAX(0.19*Q74,0.1%)</f>
        <v>6.7069999999999994E-3</v>
      </c>
      <c r="S88" s="56">
        <f>O88-P88</f>
        <v>0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757.44170037642857</v>
      </c>
      <c r="J100" s="50">
        <f>$J$2*(1+E100)</f>
        <v>418.91999999999996</v>
      </c>
      <c r="K100" s="51">
        <f t="shared" si="6"/>
        <v>1176.3617003764284</v>
      </c>
      <c r="L100" s="51">
        <f>K100-$I$3</f>
        <v>176.36170037642842</v>
      </c>
      <c r="M100">
        <f>((J40-MIN(J40,$K$2))+(I40-MIN(I40,MAX($L$2-MIN(J40,$K$2),0))))*R40</f>
        <v>0</v>
      </c>
      <c r="N100" s="51">
        <f>0.19*L100</f>
        <v>33.508723071521402</v>
      </c>
      <c r="O100" s="53">
        <f>K100-M100</f>
        <v>1176.3617003764284</v>
      </c>
      <c r="P100" s="53">
        <f>K100-N100</f>
        <v>1142.852977304907</v>
      </c>
      <c r="Q100">
        <v>4.2200000000000001E-2</v>
      </c>
      <c r="R100">
        <f>MAX(0.19*Q86,0.1%)</f>
        <v>8.4929999999999988E-3</v>
      </c>
      <c r="S100" s="56">
        <f>O100-P100</f>
        <v>33.508723071521445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648.33896923742418</v>
      </c>
      <c r="J112" s="50">
        <f>$J$2*(1+E112)</f>
        <v>416.88</v>
      </c>
      <c r="K112" s="51">
        <f t="shared" si="6"/>
        <v>1065.2189692374241</v>
      </c>
      <c r="L112" s="51">
        <f>K112-$I$3</f>
        <v>65.218969237424062</v>
      </c>
      <c r="M112">
        <f>((J52-MIN(J52,$K$2))+(I52-MIN(I52,MAX($L$2-MIN(J52,$K$2),0))))*R52</f>
        <v>0</v>
      </c>
      <c r="N112" s="51">
        <f>0.19*L112</f>
        <v>12.391604155110572</v>
      </c>
      <c r="O112" s="53">
        <f>K112-M112</f>
        <v>1065.2189692374241</v>
      </c>
      <c r="P112" s="53">
        <f>K112-N112</f>
        <v>1052.8273650823135</v>
      </c>
      <c r="Q112">
        <v>2.5899999999999999E-2</v>
      </c>
      <c r="R112">
        <f>MAX(0.19*Q98,0.1%)</f>
        <v>9.0629999999999999E-3</v>
      </c>
      <c r="S112" s="56">
        <f>O112-P112</f>
        <v>12.391604155110599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601.54234487196368</v>
      </c>
      <c r="J124" s="50">
        <f>$J$2*(1+E124)</f>
        <v>410.36</v>
      </c>
      <c r="K124" s="51">
        <f t="shared" si="6"/>
        <v>1011.9023448719637</v>
      </c>
      <c r="L124" s="51">
        <f>K124-$I$3</f>
        <v>11.902344871963692</v>
      </c>
      <c r="M124">
        <f>((J64-MIN(J64,$K$2))+(I64-MIN(I64,MAX($L$2-MIN(J64,$K$2),0))))*R64</f>
        <v>0</v>
      </c>
      <c r="N124" s="51">
        <f>0.19*L124</f>
        <v>2.2614455256731016</v>
      </c>
      <c r="O124" s="53">
        <f>K124-M124</f>
        <v>1011.9023448719637</v>
      </c>
      <c r="P124" s="53">
        <f>K124-N124</f>
        <v>1009.6408993462906</v>
      </c>
      <c r="Q124">
        <v>2.3099999999999999E-2</v>
      </c>
      <c r="R124">
        <f>MAX(0.19*Q110,0.1%)</f>
        <v>4.8449999999999995E-3</v>
      </c>
      <c r="S124" s="56">
        <f>O124-P124</f>
        <v>2.2614455256731389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542.25114011025335</v>
      </c>
      <c r="J136" s="50">
        <f>$J$2*(1+E136)</f>
        <v>409.23999999999995</v>
      </c>
      <c r="K136" s="51">
        <f t="shared" si="6"/>
        <v>951.49114011025335</v>
      </c>
      <c r="L136" s="51">
        <f>K136-$I$3</f>
        <v>-48.508859889746645</v>
      </c>
      <c r="M136">
        <f>((J76-MIN(J76,$K$2))+(I76-MIN(I76,MAX($L$2-MIN(J76,$K$2),0))))*R76</f>
        <v>0</v>
      </c>
      <c r="N136" s="50">
        <v>0</v>
      </c>
      <c r="O136" s="53">
        <f>K136-M136</f>
        <v>951.49114011025335</v>
      </c>
      <c r="P136" s="53">
        <f>K136-N136</f>
        <v>951.49114011025335</v>
      </c>
      <c r="Q136">
        <v>1.7600000000000001E-2</v>
      </c>
      <c r="R136">
        <f>MAX(0.19*Q122,0.1%)</f>
        <v>4.7500000000000007E-3</v>
      </c>
      <c r="S136" s="56">
        <f>O136-P136</f>
        <v>0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ref="E146:E209" si="9">C134</f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si="9"/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668.26272537853436</v>
      </c>
      <c r="J148" s="50">
        <f>$J$2*(1+E148)</f>
        <v>407.04</v>
      </c>
      <c r="K148" s="51">
        <f t="shared" ref="K148:K208" si="10">I148+J148</f>
        <v>1075.3027253785344</v>
      </c>
      <c r="L148" s="51">
        <f>K148-$I$3</f>
        <v>75.302725378534433</v>
      </c>
      <c r="M148">
        <f>((J88-MIN(J88,$K$2))+(I88-MIN(I88,MAX($L$2-MIN(J88,$K$2),0))))*R88</f>
        <v>0</v>
      </c>
      <c r="N148" s="51">
        <f>0.19*L148</f>
        <v>14.307517821921543</v>
      </c>
      <c r="O148" s="53">
        <f>K148-M148</f>
        <v>1075.3027253785344</v>
      </c>
      <c r="P148" s="53">
        <f>K148-N148</f>
        <v>1060.995207556613</v>
      </c>
      <c r="Q148">
        <v>1.49E-2</v>
      </c>
      <c r="R148">
        <f>MAX(0.19*Q134,0.1%)</f>
        <v>3.3250000000000003E-3</v>
      </c>
      <c r="S148" s="56">
        <f>O148-P148</f>
        <v>14.307517821921465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739.02882538809047</v>
      </c>
      <c r="J160" s="50">
        <f>$J$2*(1+E160)</f>
        <v>405.96</v>
      </c>
      <c r="K160" s="51">
        <f t="shared" si="10"/>
        <v>1144.9888253880904</v>
      </c>
      <c r="L160" s="51">
        <f>K160-$I$3</f>
        <v>144.98882538809039</v>
      </c>
      <c r="M160">
        <f>((J100-MIN(J100,$K$2))+(I100-MIN(I100,MAX($L$2-MIN(J100,$K$2),0))))*R100</f>
        <v>0</v>
      </c>
      <c r="N160" s="51">
        <f>0.19*L160</f>
        <v>27.547876823737173</v>
      </c>
      <c r="O160" s="53">
        <f>K160-M160</f>
        <v>1144.9888253880904</v>
      </c>
      <c r="P160" s="53">
        <f>K160-N160</f>
        <v>1117.4409485643532</v>
      </c>
      <c r="Q160">
        <v>1.52E-2</v>
      </c>
      <c r="R160">
        <f>MAX(0.19*Q146,0.1%)</f>
        <v>3.078E-3</v>
      </c>
      <c r="S160" s="56">
        <f>O160-P160</f>
        <v>27.54787682373717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543.00177892956765</v>
      </c>
      <c r="J172" s="50">
        <f>$J$2*(1+E172)</f>
        <v>406.08000000000004</v>
      </c>
      <c r="K172" s="51">
        <f t="shared" si="10"/>
        <v>949.08177892956769</v>
      </c>
      <c r="L172" s="51">
        <f>K172-$I$3</f>
        <v>-50.91822107043231</v>
      </c>
      <c r="M172">
        <f>((J112-MIN(J112,$K$2))+(I112-MIN(I112,MAX($L$2-MIN(J112,$K$2),0))))*R112</f>
        <v>0</v>
      </c>
      <c r="N172" s="51">
        <v>0</v>
      </c>
      <c r="O172" s="53">
        <f>K172-M172</f>
        <v>949.08177892956769</v>
      </c>
      <c r="P172" s="53">
        <f>K172-N172</f>
        <v>949.08177892956769</v>
      </c>
      <c r="Q172">
        <v>1.83E-2</v>
      </c>
      <c r="R172">
        <f>MAX(0.19*Q158,0.1%)</f>
        <v>2.8310000000000002E-3</v>
      </c>
      <c r="S172" s="56">
        <f>O172-P172</f>
        <v>0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601.48079839834975</v>
      </c>
      <c r="J184" s="50">
        <f>$J$2*(1+E184)</f>
        <v>407.32</v>
      </c>
      <c r="K184" s="51">
        <f t="shared" si="10"/>
        <v>1008.8007983983498</v>
      </c>
      <c r="L184" s="51">
        <f>K184-$I$3</f>
        <v>8.8007983983497979</v>
      </c>
      <c r="M184">
        <f>((J124-MIN(J124,$K$2))+(I124-MIN(I124,MAX($L$2-MIN(J124,$K$2),0))))*R124</f>
        <v>0</v>
      </c>
      <c r="N184" s="51">
        <f>0.19*L184</f>
        <v>1.6721516956864617</v>
      </c>
      <c r="O184" s="53">
        <f>K184-M184</f>
        <v>1008.8007983983498</v>
      </c>
      <c r="P184" s="53">
        <f>K184-N184</f>
        <v>1007.1286467026633</v>
      </c>
      <c r="Q184">
        <v>1.21E-2</v>
      </c>
      <c r="R184">
        <f>MAX(0.19*Q170,0.1%)</f>
        <v>3.0590000000000001E-3</v>
      </c>
      <c r="S184" s="56">
        <f>O184-P184</f>
        <v>1.6721516956864662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591.62718508917419</v>
      </c>
      <c r="J196" s="50">
        <f>$J$2*(1+E196)</f>
        <v>404.84</v>
      </c>
      <c r="K196" s="51">
        <f t="shared" si="10"/>
        <v>996.46718508917411</v>
      </c>
      <c r="L196" s="51">
        <f>K196-$I$3</f>
        <v>-3.5328149108258913</v>
      </c>
      <c r="M196">
        <f>((J136-MIN(J136,$K$2))+(I136-MIN(I136,MAX($L$2-MIN(J136,$K$2),0))))*R136</f>
        <v>0</v>
      </c>
      <c r="N196" s="51">
        <f>0.19*L196</f>
        <v>-0.67123483305691933</v>
      </c>
      <c r="O196" s="53">
        <f>K196-M196</f>
        <v>996.46718508917411</v>
      </c>
      <c r="P196" s="53">
        <f>K196-N196</f>
        <v>997.13841992223104</v>
      </c>
      <c r="Q196">
        <v>5.1000000000000004E-3</v>
      </c>
      <c r="R196">
        <f>MAX(0.19*Q182,0.1%)</f>
        <v>2.5460000000000001E-3</v>
      </c>
      <c r="S196" s="56">
        <f>O196-P196</f>
        <v>-0.67123483305692844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729.10378873857894</v>
      </c>
      <c r="J208" s="50">
        <f>$J$2*(1+E208)</f>
        <v>402.04</v>
      </c>
      <c r="K208" s="51">
        <f t="shared" si="10"/>
        <v>1131.1437887385789</v>
      </c>
      <c r="L208" s="51">
        <f>K208-$I$3</f>
        <v>131.14378873857891</v>
      </c>
      <c r="M208">
        <f>((J148-MIN(J148,$K$2))+(I148-MIN(I148,MAX($L$2-MIN(J148,$K$2),0))))*R148</f>
        <v>0</v>
      </c>
      <c r="N208" s="51">
        <f>0.19*L208</f>
        <v>24.917319860329993</v>
      </c>
      <c r="O208" s="53">
        <f>K208-M208</f>
        <v>1131.1437887385789</v>
      </c>
      <c r="P208" s="53">
        <f>K208-N208</f>
        <v>1106.2264688782489</v>
      </c>
      <c r="Q208">
        <v>6.7999999999999996E-3</v>
      </c>
      <c r="R208">
        <f>MAX(0.19*Q194,0.1%)</f>
        <v>1E-3</v>
      </c>
      <c r="S208" s="56">
        <f>O208-P208</f>
        <v>24.917319860330053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ref="E210:E264" si="13">C198</f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si="13"/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497.53923227602763</v>
      </c>
      <c r="J220" s="50">
        <f>$J$2*(1+E220)</f>
        <v>402.71999999999997</v>
      </c>
      <c r="K220" s="51">
        <f t="shared" ref="K220:K256" si="14">I220+J220</f>
        <v>900.25923227602766</v>
      </c>
      <c r="L220" s="51">
        <f>K220-$I$3</f>
        <v>-99.74076772397234</v>
      </c>
      <c r="M220">
        <f>((J160-MIN(J160,$K$2))+(I160-MIN(I160,MAX($L$2-MIN(J160,$K$2),0))))*R160</f>
        <v>0</v>
      </c>
      <c r="N220" s="51">
        <v>0</v>
      </c>
      <c r="O220" s="53">
        <f>K220-M220</f>
        <v>900.25923227602766</v>
      </c>
      <c r="P220" s="53">
        <f>K220-N220</f>
        <v>900.25923227602766</v>
      </c>
      <c r="Q220">
        <v>6.25E-2</v>
      </c>
      <c r="R220">
        <f>MAX(0.19*Q206,0.1%)</f>
        <v>1E-3</v>
      </c>
      <c r="S220" s="56">
        <f>O220-P220</f>
        <v>0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819.24382921228175</v>
      </c>
      <c r="J232" s="50">
        <f>$J$2*(1+E232)</f>
        <v>425</v>
      </c>
      <c r="K232" s="51">
        <f t="shared" si="14"/>
        <v>1244.2438292122818</v>
      </c>
      <c r="L232" s="51">
        <f>K232-$I$3</f>
        <v>244.24382921228175</v>
      </c>
      <c r="M232">
        <f>((J172-MIN(J172,$K$2))+(I172-MIN(I172,MAX($L$2-MIN(J172,$K$2),0))))*R172</f>
        <v>0</v>
      </c>
      <c r="N232" s="51">
        <f>0.19*L232</f>
        <v>46.406327550333536</v>
      </c>
      <c r="O232" s="53">
        <f>K232-M232</f>
        <v>1244.2438292122818</v>
      </c>
      <c r="P232" s="53">
        <f>K232-N232</f>
        <v>1197.8375016619482</v>
      </c>
      <c r="Q232">
        <v>4.41E-2</v>
      </c>
      <c r="R232">
        <f>MAX(0.19*Q218,0.1%)</f>
        <v>1.0792000000000001E-2</v>
      </c>
      <c r="S232" s="56">
        <f>O232-P232</f>
        <v>46.406327550333572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608.54507735224274</v>
      </c>
      <c r="J244" s="50">
        <f>$J$2*(1+E244)</f>
        <v>417.64</v>
      </c>
      <c r="K244" s="51">
        <f t="shared" si="14"/>
        <v>1026.1850773522428</v>
      </c>
      <c r="L244" s="51">
        <f>K244-$I$3</f>
        <v>26.185077352242843</v>
      </c>
      <c r="M244">
        <f>((J184-MIN(J184,$K$2))+(I184-MIN(I184,MAX($L$2-MIN(J184,$K$2),0))))*R184</f>
        <v>0</v>
      </c>
      <c r="N244" s="51">
        <f>0.19*L244</f>
        <v>4.9751646969261403</v>
      </c>
      <c r="O244" s="53">
        <f>K244-M244</f>
        <v>1026.1850773522428</v>
      </c>
      <c r="P244" s="53">
        <f>K244-N244</f>
        <v>1021.2099126553167</v>
      </c>
      <c r="Q244">
        <v>3.95E-2</v>
      </c>
      <c r="R244">
        <f>MAX(0.19*Q230,0.1%)</f>
        <v>8.7590000000000012E-3</v>
      </c>
      <c r="S244" s="56"/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883.97226747520517</v>
      </c>
      <c r="J256" s="50">
        <f>$J$2*(1+E256)</f>
        <v>415.8</v>
      </c>
      <c r="K256" s="51">
        <f t="shared" si="14"/>
        <v>1299.7722674752051</v>
      </c>
      <c r="L256" s="51">
        <f>K256-$I$3</f>
        <v>299.77226747520513</v>
      </c>
      <c r="M256">
        <f>((J196-MIN(J196,$K$2))+(I196-MIN(I196,MAX($L$2-MIN(J196,$K$2),0))))*R196</f>
        <v>0</v>
      </c>
      <c r="N256" s="51">
        <f>0.19*L256</f>
        <v>56.956730820288975</v>
      </c>
      <c r="O256" s="53">
        <f>K256-M256</f>
        <v>1299.7722674752051</v>
      </c>
      <c r="P256" s="53">
        <f>K256-N256</f>
        <v>1242.8155366549161</v>
      </c>
      <c r="Q256">
        <v>3.3399999999999999E-2</v>
      </c>
      <c r="R256">
        <f>MAX(0.19*Q242,0.1%)</f>
        <v>7.6E-3</v>
      </c>
      <c r="S256" s="56"/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19050</xdr:colOff>
                <xdr:row>1</xdr:row>
                <xdr:rowOff>104775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C547-784A-4E78-A08B-9C57FD5DFBD9}">
  <dimension ref="A1:S9014"/>
  <sheetViews>
    <sheetView zoomScale="85" zoomScaleNormal="85" workbookViewId="0">
      <pane xSplit="1" topLeftCell="B1" activePane="topRight" state="frozen"/>
      <selection pane="topRight" activeCell="J2" sqref="J2"/>
    </sheetView>
  </sheetViews>
  <sheetFormatPr defaultRowHeight="14.25"/>
  <cols>
    <col min="1" max="1" width="10.12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1" bestFit="1" customWidth="1"/>
    <col min="10" max="10" width="13.75" bestFit="1" customWidth="1"/>
    <col min="11" max="11" width="11" bestFit="1" customWidth="1"/>
    <col min="12" max="12" width="24" bestFit="1" customWidth="1"/>
    <col min="13" max="13" width="11.625" bestFit="1" customWidth="1"/>
    <col min="14" max="14" width="11" bestFit="1" customWidth="1"/>
    <col min="15" max="16" width="11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v>3000</v>
      </c>
      <c r="J2" s="46">
        <v>2000</v>
      </c>
      <c r="K2">
        <v>25000</v>
      </c>
      <c r="L2">
        <v>100000</v>
      </c>
    </row>
    <row r="3" spans="1:19">
      <c r="I3" s="62">
        <v>5000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2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4248.0928091764254</v>
      </c>
      <c r="J28" s="50">
        <f>$J$2*(1+E28)</f>
        <v>2072</v>
      </c>
      <c r="K28" s="51">
        <f t="shared" ref="K28:K76" si="2">I28+J28</f>
        <v>6320.0928091764254</v>
      </c>
      <c r="L28" s="51">
        <f>K28-$I$3</f>
        <v>1320.0928091764254</v>
      </c>
      <c r="M28">
        <f>((J28-MIN(J28,$K$2))+(I28-MIN(I28,MAX($L$2-MIN(J28,$K$2),0))))*R28</f>
        <v>0</v>
      </c>
      <c r="N28" s="51">
        <f>IF(L28&gt;0,0.19*L28,0)</f>
        <v>250.81763374352082</v>
      </c>
      <c r="O28" s="53">
        <f>K28-M28</f>
        <v>6320.0928091764254</v>
      </c>
      <c r="P28" s="53">
        <f>K28-N28</f>
        <v>6069.2751754329047</v>
      </c>
      <c r="Q28">
        <v>3.3099999999999997E-2</v>
      </c>
      <c r="R28">
        <f>MAX(0.19*Q14,0.1%)</f>
        <v>6.8780000000000004E-3</v>
      </c>
      <c r="S28" s="56">
        <f>O28-P28</f>
        <v>250.81763374352067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3311.636437644981</v>
      </c>
      <c r="J40" s="50">
        <f>$J$2*(1+E40)</f>
        <v>2066.1999999999998</v>
      </c>
      <c r="K40" s="51">
        <f t="shared" si="2"/>
        <v>5377.8364376449808</v>
      </c>
      <c r="L40" s="51">
        <f>K40-$I$3</f>
        <v>377.83643764498083</v>
      </c>
      <c r="M40">
        <f>((J28-MIN(J28,$K$2))+(I28-MIN(I28,MAX($L$2-MIN(J28,$K$2),0))))*R28</f>
        <v>0</v>
      </c>
      <c r="N40" s="51">
        <f>IF(L40&gt;0,0.19*L40,0)</f>
        <v>71.78892315254636</v>
      </c>
      <c r="O40" s="53">
        <f>K40-M40</f>
        <v>5377.8364376449808</v>
      </c>
      <c r="P40" s="53">
        <f>K40-N40</f>
        <v>5306.0475144924349</v>
      </c>
      <c r="Q40">
        <v>4.1599999999999998E-2</v>
      </c>
      <c r="R40">
        <f>MAX(0.19*Q26,0.1%)</f>
        <v>6.4219999999999998E-3</v>
      </c>
      <c r="S40" s="56">
        <f>O40-P40</f>
        <v>71.788923152545976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1467.8897236117964</v>
      </c>
      <c r="J52" s="50">
        <f>$J$2*(1+E52)</f>
        <v>2083.2000000000003</v>
      </c>
      <c r="K52" s="51">
        <f t="shared" si="2"/>
        <v>3551.0897236117967</v>
      </c>
      <c r="L52" s="51">
        <f>K52-$I$3</f>
        <v>-1448.9102763882033</v>
      </c>
      <c r="M52">
        <f>((J28-MIN(J28,$K$2))+(I28-MIN(I28,MAX($L$2-MIN(J28,$K$2),0))))*R28</f>
        <v>0</v>
      </c>
      <c r="N52" s="51">
        <f>IF(L52&gt;0,0.19*L52,0)</f>
        <v>0</v>
      </c>
      <c r="O52" s="53">
        <f>K52-M52</f>
        <v>3551.0897236117967</v>
      </c>
      <c r="P52" s="53">
        <f>K52-N52</f>
        <v>3551.0897236117967</v>
      </c>
      <c r="Q52">
        <v>6.5199999999999994E-2</v>
      </c>
      <c r="R52">
        <f>MAX(0.19*Q38,0.1%)</f>
        <v>7.6570000000000006E-3</v>
      </c>
      <c r="S52" s="56">
        <f>O52-P52</f>
        <v>0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4405.5806680025153</v>
      </c>
      <c r="J64" s="50">
        <f>$J$2*(1+E64)</f>
        <v>2130.3999999999996</v>
      </c>
      <c r="K64" s="51">
        <f t="shared" si="2"/>
        <v>6535.9806680025149</v>
      </c>
      <c r="L64" s="51">
        <f>K64-$I$3</f>
        <v>1535.9806680025149</v>
      </c>
      <c r="M64">
        <f>((J28-MIN(J28,$K$2))+(I28-MIN(I28,MAX($L$2-MIN(J28,$K$2),0))))*R28</f>
        <v>0</v>
      </c>
      <c r="N64" s="51">
        <f>IF(L64&gt;0,0.19*L64,0)</f>
        <v>291.83632692047786</v>
      </c>
      <c r="O64" s="53">
        <f>K64-M64</f>
        <v>6535.9806680025149</v>
      </c>
      <c r="P64" s="53">
        <f>K64-N64</f>
        <v>6244.1443410820375</v>
      </c>
      <c r="Q64">
        <v>4.0300000000000002E-2</v>
      </c>
      <c r="R64">
        <f>MAX(0.19*Q50,0.1%)</f>
        <v>1.1609000000000001E-2</v>
      </c>
      <c r="S64" s="56">
        <f>O64-P64</f>
        <v>291.8363269204774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3562.9911876634796</v>
      </c>
      <c r="J76" s="50">
        <f>$J$2*(1+E76)</f>
        <v>2080.6</v>
      </c>
      <c r="K76" s="51">
        <f t="shared" si="2"/>
        <v>5643.59118766348</v>
      </c>
      <c r="L76" s="51">
        <f>K76-$I$3</f>
        <v>643.59118766348001</v>
      </c>
      <c r="M76">
        <f>((J28-MIN(J28,$K$2))+(I28-MIN(I28,MAX($L$2-MIN(J28,$K$2),0))))*R28</f>
        <v>0</v>
      </c>
      <c r="N76" s="51">
        <f>IF(L76&gt;0,0.19*L76,0)</f>
        <v>122.2823256560612</v>
      </c>
      <c r="O76" s="53">
        <f>K76-M76</f>
        <v>5643.59118766348</v>
      </c>
      <c r="P76" s="53">
        <f>K76-N76</f>
        <v>5521.3088620074186</v>
      </c>
      <c r="Q76">
        <v>3.56E-2</v>
      </c>
      <c r="R76">
        <f>MAX(0.19*Q62,0.1%)</f>
        <v>8.0750000000000006E-3</v>
      </c>
      <c r="S76" s="56">
        <f>O76-P76</f>
        <v>122.2823256560614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si="1"/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ref="E83:E146" si="5">C71</f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2374.953332192038</v>
      </c>
      <c r="J88" s="50">
        <f>$J$2*(1+E88)</f>
        <v>2071.2000000000003</v>
      </c>
      <c r="K88" s="51">
        <f t="shared" ref="K88:K136" si="6">I88+J88</f>
        <v>4446.1533321920379</v>
      </c>
      <c r="L88" s="51">
        <f>K88-$I$3</f>
        <v>-553.84666780796215</v>
      </c>
      <c r="M88">
        <f>((J28-MIN(J28,$K$2))+(I28-MIN(I28,MAX($L$2-MIN(J28,$K$2),0))))*R28</f>
        <v>0</v>
      </c>
      <c r="N88" s="51">
        <f>IF(L88&gt;0,0.19*L88,0)</f>
        <v>0</v>
      </c>
      <c r="O88" s="53">
        <f>K88-M88</f>
        <v>4446.1533321920379</v>
      </c>
      <c r="P88" s="53">
        <f>K88-N88</f>
        <v>4446.1533321920379</v>
      </c>
      <c r="Q88">
        <v>4.7300000000000002E-2</v>
      </c>
      <c r="R88">
        <f>MAX(0.19*Q74,0.1%)</f>
        <v>6.7069999999999994E-3</v>
      </c>
      <c r="S88" s="56">
        <f>O88-P88</f>
        <v>0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3787.2085018821431</v>
      </c>
      <c r="J100" s="50">
        <f>$J$2*(1+E100)</f>
        <v>2094.6</v>
      </c>
      <c r="K100" s="51">
        <f t="shared" si="6"/>
        <v>5881.808501882143</v>
      </c>
      <c r="L100" s="51">
        <f>K100-$I$3</f>
        <v>881.80850188214299</v>
      </c>
      <c r="M100">
        <f>((J40-MIN(J40,$K$2))+(I40-MIN(I40,MAX($L$2-MIN(J40,$K$2),0))))*R40</f>
        <v>0</v>
      </c>
      <c r="N100" s="51">
        <f>IF(L100&gt;0,0.19*L100,0)</f>
        <v>167.54361535760717</v>
      </c>
      <c r="O100" s="53">
        <f>K100-M100</f>
        <v>5881.808501882143</v>
      </c>
      <c r="P100" s="53">
        <f>K100-N100</f>
        <v>5714.2648865245355</v>
      </c>
      <c r="Q100">
        <v>4.2200000000000001E-2</v>
      </c>
      <c r="R100">
        <f>MAX(0.19*Q86,0.1%)</f>
        <v>8.4929999999999988E-3</v>
      </c>
      <c r="S100" s="56">
        <f>O100-P100</f>
        <v>167.54361535760745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3241.6948461871207</v>
      </c>
      <c r="J112" s="50">
        <f>$J$2*(1+E112)</f>
        <v>2084.4</v>
      </c>
      <c r="K112" s="51">
        <f t="shared" si="6"/>
        <v>5326.0948461871212</v>
      </c>
      <c r="L112" s="51">
        <f>K112-$I$3</f>
        <v>326.09484618712122</v>
      </c>
      <c r="M112">
        <f>((J52-MIN(J52,$K$2))+(I52-MIN(I52,MAX($L$2-MIN(J52,$K$2),0))))*R52</f>
        <v>0</v>
      </c>
      <c r="N112" s="51">
        <f>IF(L112&gt;0,0.19*L112,0)</f>
        <v>61.958020775553031</v>
      </c>
      <c r="O112" s="53">
        <f>K112-M112</f>
        <v>5326.0948461871212</v>
      </c>
      <c r="P112" s="53">
        <f>K112-N112</f>
        <v>5264.1368254115678</v>
      </c>
      <c r="Q112">
        <v>2.5899999999999999E-2</v>
      </c>
      <c r="R112">
        <f>MAX(0.19*Q98,0.1%)</f>
        <v>9.0629999999999999E-3</v>
      </c>
      <c r="S112" s="56">
        <f>O112-P112</f>
        <v>61.95802077555345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3007.7117243598182</v>
      </c>
      <c r="J124" s="50">
        <f>$J$2*(1+E124)</f>
        <v>2051.8000000000002</v>
      </c>
      <c r="K124" s="51">
        <f t="shared" si="6"/>
        <v>5059.5117243598179</v>
      </c>
      <c r="L124" s="51">
        <f>K124-$I$3</f>
        <v>59.51172435981789</v>
      </c>
      <c r="M124">
        <f>((J64-MIN(J64,$K$2))+(I64-MIN(I64,MAX($L$2-MIN(J64,$K$2),0))))*R64</f>
        <v>0</v>
      </c>
      <c r="N124" s="51">
        <f>IF(L124&gt;0,0.19*L124,0)</f>
        <v>11.3072276283654</v>
      </c>
      <c r="O124" s="53">
        <f>K124-M124</f>
        <v>5059.5117243598179</v>
      </c>
      <c r="P124" s="53">
        <f>K124-N124</f>
        <v>5048.2044967314523</v>
      </c>
      <c r="Q124">
        <v>2.3099999999999999E-2</v>
      </c>
      <c r="R124">
        <f>MAX(0.19*Q110,0.1%)</f>
        <v>4.8449999999999995E-3</v>
      </c>
      <c r="S124" s="56">
        <f>O124-P124</f>
        <v>11.307227628365581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2711.2557005512667</v>
      </c>
      <c r="J136" s="50">
        <f>$J$2*(1+E136)</f>
        <v>2046.1999999999998</v>
      </c>
      <c r="K136" s="51">
        <f t="shared" si="6"/>
        <v>4757.455700551267</v>
      </c>
      <c r="L136" s="51">
        <f>K136-$I$3</f>
        <v>-242.544299448733</v>
      </c>
      <c r="M136">
        <f>((J76-MIN(J76,$K$2))+(I76-MIN(I76,MAX($L$2-MIN(J76,$K$2),0))))*R76</f>
        <v>0</v>
      </c>
      <c r="N136" s="51">
        <f>IF(L136&gt;0,0.19*L136,0)</f>
        <v>0</v>
      </c>
      <c r="O136" s="53">
        <f>K136-M136</f>
        <v>4757.455700551267</v>
      </c>
      <c r="P136" s="53">
        <f>K136-N136</f>
        <v>4757.455700551267</v>
      </c>
      <c r="Q136">
        <v>1.7600000000000001E-2</v>
      </c>
      <c r="R136">
        <f>MAX(0.19*Q122,0.1%)</f>
        <v>4.7500000000000007E-3</v>
      </c>
      <c r="S136" s="56">
        <f>O136-P136</f>
        <v>0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si="5"/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ref="E147:E210" si="9">C135</f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3341.3136268926719</v>
      </c>
      <c r="J148" s="50">
        <f>$J$2*(1+E148)</f>
        <v>2035.2</v>
      </c>
      <c r="K148" s="51">
        <f t="shared" ref="K148:K208" si="10">I148+J148</f>
        <v>5376.5136268926717</v>
      </c>
      <c r="L148" s="51">
        <f>K148-$I$3</f>
        <v>376.51362689267171</v>
      </c>
      <c r="M148">
        <f>((J88-MIN(J88,$K$2))+(I88-MIN(I88,MAX($L$2-MIN(J88,$K$2),0))))*R88</f>
        <v>0</v>
      </c>
      <c r="N148" s="51">
        <f>IF(L148&gt;0,0.19*L148,0)</f>
        <v>71.537589109607623</v>
      </c>
      <c r="O148" s="53">
        <f>K148-M148</f>
        <v>5376.5136268926717</v>
      </c>
      <c r="P148" s="53">
        <f>K148-N148</f>
        <v>5304.9760377830644</v>
      </c>
      <c r="Q148">
        <v>1.49E-2</v>
      </c>
      <c r="R148">
        <f>MAX(0.19*Q134,0.1%)</f>
        <v>3.3250000000000003E-3</v>
      </c>
      <c r="S148" s="56">
        <f>O148-P148</f>
        <v>71.537589109607325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3695.1441269404522</v>
      </c>
      <c r="J160" s="50">
        <f>$J$2*(1+E160)</f>
        <v>2029.7999999999997</v>
      </c>
      <c r="K160" s="51">
        <f t="shared" si="10"/>
        <v>5724.9441269404524</v>
      </c>
      <c r="L160" s="51">
        <f>K160-$I$3</f>
        <v>724.94412694045241</v>
      </c>
      <c r="M160">
        <f>((J100-MIN(J100,$K$2))+(I100-MIN(I100,MAX($L$2-MIN(J100,$K$2),0))))*R100</f>
        <v>0</v>
      </c>
      <c r="N160" s="51">
        <f>IF(L160&gt;0,0.19*L160,0)</f>
        <v>137.73938411868596</v>
      </c>
      <c r="O160" s="53">
        <f>K160-M160</f>
        <v>5724.9441269404524</v>
      </c>
      <c r="P160" s="53">
        <f>K160-N160</f>
        <v>5587.2047428217666</v>
      </c>
      <c r="Q160">
        <v>1.52E-2</v>
      </c>
      <c r="R160">
        <f>MAX(0.19*Q146,0.1%)</f>
        <v>3.078E-3</v>
      </c>
      <c r="S160" s="56">
        <f>O160-P160</f>
        <v>137.73938411868585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2715.0088946478381</v>
      </c>
      <c r="J172" s="50">
        <f>$J$2*(1+E172)</f>
        <v>2030.4</v>
      </c>
      <c r="K172" s="51">
        <f t="shared" si="10"/>
        <v>4745.4088946478387</v>
      </c>
      <c r="L172" s="51">
        <f>K172-$I$3</f>
        <v>-254.59110535216132</v>
      </c>
      <c r="M172">
        <f>((J112-MIN(J112,$K$2))+(I112-MIN(I112,MAX($L$2-MIN(J112,$K$2),0))))*R112</f>
        <v>0</v>
      </c>
      <c r="N172" s="51">
        <f>IF(L172&gt;0,0.19*L172,0)</f>
        <v>0</v>
      </c>
      <c r="O172" s="53">
        <f>K172-M172</f>
        <v>4745.4088946478387</v>
      </c>
      <c r="P172" s="53">
        <f>K172-N172</f>
        <v>4745.4088946478387</v>
      </c>
      <c r="Q172">
        <v>1.83E-2</v>
      </c>
      <c r="R172">
        <f>MAX(0.19*Q158,0.1%)</f>
        <v>2.8310000000000002E-3</v>
      </c>
      <c r="S172" s="56">
        <f>O172-P172</f>
        <v>0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3007.4039919917491</v>
      </c>
      <c r="J184" s="50">
        <f>$J$2*(1+E184)</f>
        <v>2036.6</v>
      </c>
      <c r="K184" s="51">
        <f t="shared" si="10"/>
        <v>5044.003991991749</v>
      </c>
      <c r="L184" s="51">
        <f>K184-$I$3</f>
        <v>44.00399199174899</v>
      </c>
      <c r="M184">
        <f>((J124-MIN(J124,$K$2))+(I124-MIN(I124,MAX($L$2-MIN(J124,$K$2),0))))*R124</f>
        <v>0</v>
      </c>
      <c r="N184" s="51">
        <f>IF(L184&gt;0,0.19*L184,0)</f>
        <v>8.3607584784323077</v>
      </c>
      <c r="O184" s="53">
        <f>K184-M184</f>
        <v>5044.003991991749</v>
      </c>
      <c r="P184" s="53">
        <f>K184-N184</f>
        <v>5035.6432335133168</v>
      </c>
      <c r="Q184">
        <v>1.21E-2</v>
      </c>
      <c r="R184">
        <f>MAX(0.19*Q170,0.1%)</f>
        <v>3.0590000000000001E-3</v>
      </c>
      <c r="S184" s="56">
        <f>O184-P184</f>
        <v>8.3607584784322171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2958.1359254458707</v>
      </c>
      <c r="J196" s="50">
        <f>$J$2*(1+E196)</f>
        <v>2024.2</v>
      </c>
      <c r="K196" s="51">
        <f t="shared" si="10"/>
        <v>4982.335925445871</v>
      </c>
      <c r="L196" s="51">
        <f>K196-$I$3</f>
        <v>-17.664074554129002</v>
      </c>
      <c r="M196">
        <f>((J136-MIN(J136,$K$2))+(I136-MIN(I136,MAX($L$2-MIN(J136,$K$2),0))))*R136</f>
        <v>0</v>
      </c>
      <c r="N196" s="51">
        <f>IF(L196&gt;0,0.19*L196,0)</f>
        <v>0</v>
      </c>
      <c r="O196" s="53">
        <f>K196-M196</f>
        <v>4982.335925445871</v>
      </c>
      <c r="P196" s="53">
        <f>K196-N196</f>
        <v>4982.335925445871</v>
      </c>
      <c r="Q196">
        <v>5.1000000000000004E-3</v>
      </c>
      <c r="R196">
        <f>MAX(0.19*Q182,0.1%)</f>
        <v>2.5460000000000001E-3</v>
      </c>
      <c r="S196" s="56">
        <f>O196-P196</f>
        <v>0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3645.5189436928945</v>
      </c>
      <c r="J208" s="50">
        <f>$J$2*(1+E208)</f>
        <v>2010.2000000000003</v>
      </c>
      <c r="K208" s="51">
        <f t="shared" si="10"/>
        <v>5655.7189436928948</v>
      </c>
      <c r="L208" s="51">
        <f>K208-$I$3</f>
        <v>655.71894369289475</v>
      </c>
      <c r="M208">
        <f>((J148-MIN(J148,$K$2))+(I148-MIN(I148,MAX($L$2-MIN(J148,$K$2),0))))*R148</f>
        <v>0</v>
      </c>
      <c r="N208" s="51">
        <f>IF(L208&gt;0,0.19*L208,0)</f>
        <v>124.58659930165001</v>
      </c>
      <c r="O208" s="53">
        <f>K208-M208</f>
        <v>5655.7189436928948</v>
      </c>
      <c r="P208" s="53">
        <f>K208-N208</f>
        <v>5531.1323443912452</v>
      </c>
      <c r="Q208">
        <v>6.7999999999999996E-3</v>
      </c>
      <c r="R208">
        <f>MAX(0.19*Q194,0.1%)</f>
        <v>1E-3</v>
      </c>
      <c r="S208" s="56">
        <f>O208-P208</f>
        <v>124.58659930164958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si="9"/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ref="E211:E264" si="13">C199</f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2487.6961613801382</v>
      </c>
      <c r="J220" s="50">
        <f>$J$2*(1+E220)</f>
        <v>2013.6</v>
      </c>
      <c r="K220" s="51">
        <f t="shared" ref="K220:K256" si="14">I220+J220</f>
        <v>4501.2961613801381</v>
      </c>
      <c r="L220" s="51">
        <f>K220-$I$3</f>
        <v>-498.70383861986193</v>
      </c>
      <c r="M220">
        <f>((J160-MIN(J160,$K$2))+(I160-MIN(I160,MAX($L$2-MIN(J160,$K$2),0))))*R160</f>
        <v>0</v>
      </c>
      <c r="N220" s="51">
        <f>IF(L220&gt;0,0.19*L220,0)</f>
        <v>0</v>
      </c>
      <c r="O220" s="53">
        <f>K220-M220</f>
        <v>4501.2961613801381</v>
      </c>
      <c r="P220" s="53">
        <f>K220-N220</f>
        <v>4501.2961613801381</v>
      </c>
      <c r="Q220">
        <v>6.25E-2</v>
      </c>
      <c r="R220">
        <f>MAX(0.19*Q206,0.1%)</f>
        <v>1E-3</v>
      </c>
      <c r="S220" s="56">
        <f>O220-P220</f>
        <v>0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4096.2191460614085</v>
      </c>
      <c r="J232" s="50">
        <f>$J$2*(1+E232)</f>
        <v>2125</v>
      </c>
      <c r="K232" s="51">
        <f t="shared" si="14"/>
        <v>6221.2191460614085</v>
      </c>
      <c r="L232" s="51">
        <f>K232-$I$3</f>
        <v>1221.2191460614085</v>
      </c>
      <c r="M232">
        <f>((J172-MIN(J172,$K$2))+(I172-MIN(I172,MAX($L$2-MIN(J172,$K$2),0))))*R172</f>
        <v>0</v>
      </c>
      <c r="N232" s="51">
        <f>IF(L232&gt;0,0.19*L232,0)</f>
        <v>232.03163775166763</v>
      </c>
      <c r="O232" s="53">
        <f>K232-M232</f>
        <v>6221.2191460614085</v>
      </c>
      <c r="P232" s="53">
        <f>K232-N232</f>
        <v>5989.1875083097411</v>
      </c>
      <c r="Q232">
        <v>4.41E-2</v>
      </c>
      <c r="R232">
        <f>MAX(0.19*Q218,0.1%)</f>
        <v>1.0792000000000001E-2</v>
      </c>
      <c r="S232" s="56">
        <f>O232-P232</f>
        <v>232.0316377516674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3042.7253867612139</v>
      </c>
      <c r="J244" s="50">
        <f>$J$2*(1+E244)</f>
        <v>2088.2000000000003</v>
      </c>
      <c r="K244" s="51">
        <f t="shared" si="14"/>
        <v>5130.9253867612142</v>
      </c>
      <c r="L244" s="51">
        <f>K244-$I$3</f>
        <v>130.92538676121421</v>
      </c>
      <c r="M244">
        <f>((J184-MIN(J184,$K$2))+(I184-MIN(I184,MAX($L$2-MIN(J184,$K$2),0))))*R184</f>
        <v>0</v>
      </c>
      <c r="N244" s="51">
        <f>IF(L244&gt;0,0.19*L244,0)</f>
        <v>24.8758234846307</v>
      </c>
      <c r="O244" s="53">
        <f>K244-M244</f>
        <v>5130.9253867612142</v>
      </c>
      <c r="P244" s="53">
        <f>K244-N244</f>
        <v>5106.0495632765833</v>
      </c>
      <c r="Q244">
        <v>3.95E-2</v>
      </c>
      <c r="R244">
        <f>MAX(0.19*Q230,0.1%)</f>
        <v>8.7590000000000012E-3</v>
      </c>
      <c r="S244" s="56">
        <f>O244-P244</f>
        <v>24.875823484630928</v>
      </c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4419.8613373760254</v>
      </c>
      <c r="J256" s="50">
        <f>$J$2*(1+E256)</f>
        <v>2079</v>
      </c>
      <c r="K256" s="51">
        <f t="shared" si="14"/>
        <v>6498.8613373760254</v>
      </c>
      <c r="L256" s="51">
        <f>K256-$I$3</f>
        <v>1498.8613373760254</v>
      </c>
      <c r="M256">
        <f>((J196-MIN(J196,$K$2))+(I196-MIN(I196,MAX($L$2-MIN(J196,$K$2),0))))*R196</f>
        <v>0</v>
      </c>
      <c r="N256" s="51">
        <f>IF(L256&gt;0,0.19*L256,0)</f>
        <v>284.78365410144482</v>
      </c>
      <c r="O256" s="53">
        <f>K256-M256</f>
        <v>6498.8613373760254</v>
      </c>
      <c r="P256" s="53">
        <f>K256-N256</f>
        <v>6214.0776832745805</v>
      </c>
      <c r="Q256">
        <v>3.3399999999999999E-2</v>
      </c>
      <c r="R256">
        <f>MAX(0.19*Q242,0.1%)</f>
        <v>7.6E-3</v>
      </c>
      <c r="S256" s="56">
        <f>O256-P256</f>
        <v>284.78365410144488</v>
      </c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2049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19050</xdr:colOff>
                <xdr:row>1</xdr:row>
                <xdr:rowOff>114300</xdr:rowOff>
              </to>
            </anchor>
          </objectPr>
        </oleObject>
      </mc:Choice>
      <mc:Fallback>
        <oleObject progId="Mbnd.EmbeddedDataStore" shapeId="20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564B-3334-46EC-9963-B7373F0638C3}">
  <dimension ref="A1:S9014"/>
  <sheetViews>
    <sheetView zoomScale="85" zoomScaleNormal="85" workbookViewId="0">
      <pane xSplit="1" topLeftCell="D1" activePane="topRight" state="frozen"/>
      <selection pane="topRight" activeCell="Q3" sqref="Q3:S3"/>
    </sheetView>
  </sheetViews>
  <sheetFormatPr defaultRowHeight="14.25"/>
  <cols>
    <col min="1" max="1" width="10.12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1" bestFit="1" customWidth="1"/>
    <col min="10" max="10" width="13.75" bestFit="1" customWidth="1"/>
    <col min="11" max="11" width="20" bestFit="1" customWidth="1"/>
    <col min="12" max="12" width="24" bestFit="1" customWidth="1"/>
    <col min="13" max="13" width="11.625" bestFit="1" customWidth="1"/>
    <col min="14" max="14" width="11" bestFit="1" customWidth="1"/>
    <col min="15" max="16" width="12.375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v>6000</v>
      </c>
      <c r="J2" s="46">
        <v>4000</v>
      </c>
      <c r="K2">
        <v>25000</v>
      </c>
      <c r="L2">
        <v>100000</v>
      </c>
    </row>
    <row r="3" spans="1:19">
      <c r="I3" s="62">
        <v>10000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2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8496.1856183528507</v>
      </c>
      <c r="J28" s="50">
        <f>$J$2*(1+E28)</f>
        <v>4144</v>
      </c>
      <c r="K28" s="51">
        <f t="shared" ref="K28:K76" si="2">I28+J28</f>
        <v>12640.185618352851</v>
      </c>
      <c r="L28" s="51">
        <f>K28-$I$3</f>
        <v>2640.1856183528507</v>
      </c>
      <c r="M28">
        <f>((J28-MIN(J28,$K$2))+(I28-MIN(I28,MAX($L$2-MIN(J28,$K$2),0))))*R28</f>
        <v>0</v>
      </c>
      <c r="N28" s="51">
        <f>IF(L28&gt;0,0.19*L28,0)</f>
        <v>501.63526748704163</v>
      </c>
      <c r="O28" s="53">
        <f>K28-M28</f>
        <v>12640.185618352851</v>
      </c>
      <c r="P28" s="53">
        <f>K28-N28</f>
        <v>12138.550350865809</v>
      </c>
      <c r="Q28">
        <v>3.3099999999999997E-2</v>
      </c>
      <c r="R28">
        <f>MAX(0.19*Q14,0.1%)</f>
        <v>6.8780000000000004E-3</v>
      </c>
      <c r="S28" s="56">
        <f>O28-P28</f>
        <v>501.63526748704135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6623.272875289962</v>
      </c>
      <c r="J40" s="50">
        <f>$J$2*(1+E40)</f>
        <v>4132.3999999999996</v>
      </c>
      <c r="K40" s="51">
        <f t="shared" si="2"/>
        <v>10755.672875289962</v>
      </c>
      <c r="L40" s="51">
        <f>K40-$I$3</f>
        <v>755.67287528996167</v>
      </c>
      <c r="M40">
        <f>((J28-MIN(J28,$K$2))+(I28-MIN(I28,MAX($L$2-MIN(J28,$K$2),0))))*R28</f>
        <v>0</v>
      </c>
      <c r="N40" s="51">
        <f>IF(L40&gt;0,0.19*L40,0)</f>
        <v>143.57784630509272</v>
      </c>
      <c r="O40" s="53">
        <f>K40-M40</f>
        <v>10755.672875289962</v>
      </c>
      <c r="P40" s="53">
        <f>K40-N40</f>
        <v>10612.09502898487</v>
      </c>
      <c r="Q40">
        <v>4.1599999999999998E-2</v>
      </c>
      <c r="R40">
        <f>MAX(0.19*Q26,0.1%)</f>
        <v>6.4219999999999998E-3</v>
      </c>
      <c r="S40" s="56">
        <f>O40-P40</f>
        <v>143.57784630509195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2935.7794472235928</v>
      </c>
      <c r="J52" s="50">
        <f>$J$2*(1+E52)</f>
        <v>4166.4000000000005</v>
      </c>
      <c r="K52" s="51">
        <f t="shared" si="2"/>
        <v>7102.1794472235933</v>
      </c>
      <c r="L52" s="51">
        <f>K52-$I$3</f>
        <v>-2897.8205527764067</v>
      </c>
      <c r="M52">
        <f>((J28-MIN(J28,$K$2))+(I28-MIN(I28,MAX($L$2-MIN(J28,$K$2),0))))*R28</f>
        <v>0</v>
      </c>
      <c r="N52" s="51">
        <f>IF(L52&gt;0,0.19*L52,0)</f>
        <v>0</v>
      </c>
      <c r="O52" s="53">
        <f>K52-M52</f>
        <v>7102.1794472235933</v>
      </c>
      <c r="P52" s="53">
        <f>K52-N52</f>
        <v>7102.1794472235933</v>
      </c>
      <c r="Q52">
        <v>6.5199999999999994E-2</v>
      </c>
      <c r="R52">
        <f>MAX(0.19*Q38,0.1%)</f>
        <v>7.6570000000000006E-3</v>
      </c>
      <c r="S52" s="56">
        <f>O52-P52</f>
        <v>0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8811.1613360050305</v>
      </c>
      <c r="J64" s="50">
        <f>$J$2*(1+E64)</f>
        <v>4260.7999999999993</v>
      </c>
      <c r="K64" s="51">
        <f t="shared" si="2"/>
        <v>13071.96133600503</v>
      </c>
      <c r="L64" s="51">
        <f>K64-$I$3</f>
        <v>3071.9613360050298</v>
      </c>
      <c r="M64">
        <f>((J28-MIN(J28,$K$2))+(I28-MIN(I28,MAX($L$2-MIN(J28,$K$2),0))))*R28</f>
        <v>0</v>
      </c>
      <c r="N64" s="51">
        <f>IF(L64&gt;0,0.19*L64,0)</f>
        <v>583.67265384095572</v>
      </c>
      <c r="O64" s="53">
        <f>K64-M64</f>
        <v>13071.96133600503</v>
      </c>
      <c r="P64" s="53">
        <f>K64-N64</f>
        <v>12488.288682164075</v>
      </c>
      <c r="Q64">
        <v>4.0300000000000002E-2</v>
      </c>
      <c r="R64">
        <f>MAX(0.19*Q50,0.1%)</f>
        <v>1.1609000000000001E-2</v>
      </c>
      <c r="S64" s="56">
        <f>O64-P64</f>
        <v>583.67265384095481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7125.9823753269593</v>
      </c>
      <c r="J76" s="50">
        <f>$J$2*(1+E76)</f>
        <v>4161.2</v>
      </c>
      <c r="K76" s="51">
        <f t="shared" si="2"/>
        <v>11287.18237532696</v>
      </c>
      <c r="L76" s="51">
        <f>K76-$I$3</f>
        <v>1287.18237532696</v>
      </c>
      <c r="M76">
        <f>((J28-MIN(J28,$K$2))+(I28-MIN(I28,MAX($L$2-MIN(J28,$K$2),0))))*R28</f>
        <v>0</v>
      </c>
      <c r="N76" s="51">
        <f>IF(L76&gt;0,0.19*L76,0)</f>
        <v>244.56465131212241</v>
      </c>
      <c r="O76" s="53">
        <f>K76-M76</f>
        <v>11287.18237532696</v>
      </c>
      <c r="P76" s="53">
        <f>K76-N76</f>
        <v>11042.617724014837</v>
      </c>
      <c r="Q76">
        <v>3.56E-2</v>
      </c>
      <c r="R76">
        <f>MAX(0.19*Q62,0.1%)</f>
        <v>8.0750000000000006E-3</v>
      </c>
      <c r="S76" s="56">
        <f>O76-P76</f>
        <v>244.56465131212281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si="1"/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ref="E83:E146" si="5">C71</f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4749.9066643840761</v>
      </c>
      <c r="J88" s="50">
        <f>$J$2*(1+E88)</f>
        <v>4142.4000000000005</v>
      </c>
      <c r="K88" s="51">
        <f t="shared" ref="K88:K136" si="6">I88+J88</f>
        <v>8892.3066643840757</v>
      </c>
      <c r="L88" s="51">
        <f>K88-$I$3</f>
        <v>-1107.6933356159243</v>
      </c>
      <c r="M88">
        <f>((J28-MIN(J28,$K$2))+(I28-MIN(I28,MAX($L$2-MIN(J28,$K$2),0))))*R28</f>
        <v>0</v>
      </c>
      <c r="N88" s="51">
        <f>IF(L88&gt;0,0.19*L88,0)</f>
        <v>0</v>
      </c>
      <c r="O88" s="53">
        <f>K88-M88</f>
        <v>8892.3066643840757</v>
      </c>
      <c r="P88" s="53">
        <f>K88-N88</f>
        <v>8892.3066643840757</v>
      </c>
      <c r="Q88">
        <v>4.7300000000000002E-2</v>
      </c>
      <c r="R88">
        <f>MAX(0.19*Q74,0.1%)</f>
        <v>6.7069999999999994E-3</v>
      </c>
      <c r="S88" s="56">
        <f>O88-P88</f>
        <v>0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7574.4170037642862</v>
      </c>
      <c r="J100" s="50">
        <f>$J$2*(1+E100)</f>
        <v>4189.2</v>
      </c>
      <c r="K100" s="51">
        <f t="shared" si="6"/>
        <v>11763.617003764286</v>
      </c>
      <c r="L100" s="51">
        <f>K100-$I$3</f>
        <v>1763.617003764286</v>
      </c>
      <c r="M100">
        <f>((J40-MIN(J40,$K$2))+(I40-MIN(I40,MAX($L$2-MIN(J40,$K$2),0))))*R40</f>
        <v>0</v>
      </c>
      <c r="N100" s="51">
        <f>IF(L100&gt;0,0.19*L100,0)</f>
        <v>335.08723071521433</v>
      </c>
      <c r="O100" s="53">
        <f>K100-M100</f>
        <v>11763.617003764286</v>
      </c>
      <c r="P100" s="53">
        <f>K100-N100</f>
        <v>11428.529773049071</v>
      </c>
      <c r="Q100">
        <v>4.2200000000000001E-2</v>
      </c>
      <c r="R100">
        <f>MAX(0.19*Q86,0.1%)</f>
        <v>8.4929999999999988E-3</v>
      </c>
      <c r="S100" s="56">
        <f>O100-P100</f>
        <v>335.0872307152149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6483.3896923742413</v>
      </c>
      <c r="J112" s="50">
        <f>$J$2*(1+E112)</f>
        <v>4168.8</v>
      </c>
      <c r="K112" s="51">
        <f t="shared" si="6"/>
        <v>10652.189692374242</v>
      </c>
      <c r="L112" s="51">
        <f>K112-$I$3</f>
        <v>652.18969237424244</v>
      </c>
      <c r="M112">
        <f>((J52-MIN(J52,$K$2))+(I52-MIN(I52,MAX($L$2-MIN(J52,$K$2),0))))*R52</f>
        <v>0</v>
      </c>
      <c r="N112" s="51">
        <f>IF(L112&gt;0,0.19*L112,0)</f>
        <v>123.91604155110606</v>
      </c>
      <c r="O112" s="53">
        <f>K112-M112</f>
        <v>10652.189692374242</v>
      </c>
      <c r="P112" s="53">
        <f>K112-N112</f>
        <v>10528.273650823136</v>
      </c>
      <c r="Q112">
        <v>2.5899999999999999E-2</v>
      </c>
      <c r="R112">
        <f>MAX(0.19*Q98,0.1%)</f>
        <v>9.0629999999999999E-3</v>
      </c>
      <c r="S112" s="56">
        <f>O112-P112</f>
        <v>123.9160415511069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6015.4234487196363</v>
      </c>
      <c r="J124" s="50">
        <f>$J$2*(1+E124)</f>
        <v>4103.6000000000004</v>
      </c>
      <c r="K124" s="51">
        <f t="shared" si="6"/>
        <v>10119.023448719636</v>
      </c>
      <c r="L124" s="51">
        <f>K124-$I$3</f>
        <v>119.02344871963578</v>
      </c>
      <c r="M124">
        <f>((J64-MIN(J64,$K$2))+(I64-MIN(I64,MAX($L$2-MIN(J64,$K$2),0))))*R64</f>
        <v>0</v>
      </c>
      <c r="N124" s="51">
        <f>IF(L124&gt;0,0.19*L124,0)</f>
        <v>22.6144552567308</v>
      </c>
      <c r="O124" s="53">
        <f>K124-M124</f>
        <v>10119.023448719636</v>
      </c>
      <c r="P124" s="53">
        <f>K124-N124</f>
        <v>10096.408993462905</v>
      </c>
      <c r="Q124">
        <v>2.3099999999999999E-2</v>
      </c>
      <c r="R124">
        <f>MAX(0.19*Q110,0.1%)</f>
        <v>4.8449999999999995E-3</v>
      </c>
      <c r="S124" s="56">
        <f>O124-P124</f>
        <v>22.614455256731162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5422.5114011025335</v>
      </c>
      <c r="J136" s="50">
        <f>$J$2*(1+E136)</f>
        <v>4092.3999999999996</v>
      </c>
      <c r="K136" s="51">
        <f t="shared" si="6"/>
        <v>9514.911401102534</v>
      </c>
      <c r="L136" s="51">
        <f>K136-$I$3</f>
        <v>-485.088598897466</v>
      </c>
      <c r="M136">
        <f>((J76-MIN(J76,$K$2))+(I76-MIN(I76,MAX($L$2-MIN(J76,$K$2),0))))*R76</f>
        <v>0</v>
      </c>
      <c r="N136" s="51">
        <f>IF(L136&gt;0,0.19*L136,0)</f>
        <v>0</v>
      </c>
      <c r="O136" s="53">
        <f>K136-M136</f>
        <v>9514.911401102534</v>
      </c>
      <c r="P136" s="53">
        <f>K136-N136</f>
        <v>9514.911401102534</v>
      </c>
      <c r="Q136">
        <v>1.7600000000000001E-2</v>
      </c>
      <c r="R136">
        <f>MAX(0.19*Q122,0.1%)</f>
        <v>4.7500000000000007E-3</v>
      </c>
      <c r="S136" s="56">
        <f>O136-P136</f>
        <v>0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si="5"/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ref="E147:E210" si="9">C135</f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6682.6272537853438</v>
      </c>
      <c r="J148" s="50">
        <f>$J$2*(1+E148)</f>
        <v>4070.4</v>
      </c>
      <c r="K148" s="51">
        <f t="shared" ref="K148:K208" si="10">I148+J148</f>
        <v>10753.027253785343</v>
      </c>
      <c r="L148" s="51">
        <f>K148-$I$3</f>
        <v>753.02725378534342</v>
      </c>
      <c r="M148">
        <f>((J88-MIN(J88,$K$2))+(I88-MIN(I88,MAX($L$2-MIN(J88,$K$2),0))))*R88</f>
        <v>0</v>
      </c>
      <c r="N148" s="51">
        <f>IF(L148&gt;0,0.19*L148,0)</f>
        <v>143.07517821921525</v>
      </c>
      <c r="O148" s="53">
        <f>K148-M148</f>
        <v>10753.027253785343</v>
      </c>
      <c r="P148" s="53">
        <f>K148-N148</f>
        <v>10609.952075566129</v>
      </c>
      <c r="Q148">
        <v>1.49E-2</v>
      </c>
      <c r="R148">
        <f>MAX(0.19*Q134,0.1%)</f>
        <v>3.3250000000000003E-3</v>
      </c>
      <c r="S148" s="56">
        <f>O148-P148</f>
        <v>143.07517821921465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7390.2882538809044</v>
      </c>
      <c r="J160" s="50">
        <f>$J$2*(1+E160)</f>
        <v>4059.5999999999995</v>
      </c>
      <c r="K160" s="51">
        <f t="shared" si="10"/>
        <v>11449.888253880905</v>
      </c>
      <c r="L160" s="51">
        <f>K160-$I$3</f>
        <v>1449.8882538809048</v>
      </c>
      <c r="M160">
        <f>((J100-MIN(J100,$K$2))+(I100-MIN(I100,MAX($L$2-MIN(J100,$K$2),0))))*R100</f>
        <v>0</v>
      </c>
      <c r="N160" s="51">
        <f>IF(L160&gt;0,0.19*L160,0)</f>
        <v>275.47876823737192</v>
      </c>
      <c r="O160" s="53">
        <f>K160-M160</f>
        <v>11449.888253880905</v>
      </c>
      <c r="P160" s="53">
        <f>K160-N160</f>
        <v>11174.409485643533</v>
      </c>
      <c r="Q160">
        <v>1.52E-2</v>
      </c>
      <c r="R160">
        <f>MAX(0.19*Q146,0.1%)</f>
        <v>3.078E-3</v>
      </c>
      <c r="S160" s="56">
        <f>O160-P160</f>
        <v>275.4787682373717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5430.0177892956763</v>
      </c>
      <c r="J172" s="50">
        <f>$J$2*(1+E172)</f>
        <v>4060.8</v>
      </c>
      <c r="K172" s="51">
        <f t="shared" si="10"/>
        <v>9490.8177892956774</v>
      </c>
      <c r="L172" s="51">
        <f>K172-$I$3</f>
        <v>-509.18221070432264</v>
      </c>
      <c r="M172">
        <f>((J112-MIN(J112,$K$2))+(I112-MIN(I112,MAX($L$2-MIN(J112,$K$2),0))))*R112</f>
        <v>0</v>
      </c>
      <c r="N172" s="51">
        <f>IF(L172&gt;0,0.19*L172,0)</f>
        <v>0</v>
      </c>
      <c r="O172" s="53">
        <f>K172-M172</f>
        <v>9490.8177892956774</v>
      </c>
      <c r="P172" s="53">
        <f>K172-N172</f>
        <v>9490.8177892956774</v>
      </c>
      <c r="Q172">
        <v>1.83E-2</v>
      </c>
      <c r="R172">
        <f>MAX(0.19*Q158,0.1%)</f>
        <v>2.8310000000000002E-3</v>
      </c>
      <c r="S172" s="56">
        <f>O172-P172</f>
        <v>0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6014.8079839834982</v>
      </c>
      <c r="J184" s="50">
        <f>$J$2*(1+E184)</f>
        <v>4073.2</v>
      </c>
      <c r="K184" s="51">
        <f t="shared" si="10"/>
        <v>10088.007983983498</v>
      </c>
      <c r="L184" s="51">
        <f>K184-$I$3</f>
        <v>88.007983983497979</v>
      </c>
      <c r="M184">
        <f>((J124-MIN(J124,$K$2))+(I124-MIN(I124,MAX($L$2-MIN(J124,$K$2),0))))*R124</f>
        <v>0</v>
      </c>
      <c r="N184" s="51">
        <f>IF(L184&gt;0,0.19*L184,0)</f>
        <v>16.721516956864615</v>
      </c>
      <c r="O184" s="53">
        <f>K184-M184</f>
        <v>10088.007983983498</v>
      </c>
      <c r="P184" s="53">
        <f>K184-N184</f>
        <v>10071.286467026634</v>
      </c>
      <c r="Q184">
        <v>1.21E-2</v>
      </c>
      <c r="R184">
        <f>MAX(0.19*Q170,0.1%)</f>
        <v>3.0590000000000001E-3</v>
      </c>
      <c r="S184" s="56">
        <f>O184-P184</f>
        <v>16.721516956864434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5916.2718508917415</v>
      </c>
      <c r="J196" s="50">
        <f>$J$2*(1+E196)</f>
        <v>4048.4</v>
      </c>
      <c r="K196" s="51">
        <f t="shared" si="10"/>
        <v>9964.671850891742</v>
      </c>
      <c r="L196" s="51">
        <f>K196-$I$3</f>
        <v>-35.328149108258003</v>
      </c>
      <c r="M196">
        <f>((J136-MIN(J136,$K$2))+(I136-MIN(I136,MAX($L$2-MIN(J136,$K$2),0))))*R136</f>
        <v>0</v>
      </c>
      <c r="N196" s="51">
        <f>IF(L196&gt;0,0.19*L196,0)</f>
        <v>0</v>
      </c>
      <c r="O196" s="53">
        <f>K196-M196</f>
        <v>9964.671850891742</v>
      </c>
      <c r="P196" s="53">
        <f>K196-N196</f>
        <v>9964.671850891742</v>
      </c>
      <c r="Q196">
        <v>5.1000000000000004E-3</v>
      </c>
      <c r="R196">
        <f>MAX(0.19*Q182,0.1%)</f>
        <v>2.5460000000000001E-3</v>
      </c>
      <c r="S196" s="56">
        <f>O196-P196</f>
        <v>0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7291.037887385789</v>
      </c>
      <c r="J208" s="50">
        <f>$J$2*(1+E208)</f>
        <v>4020.4000000000005</v>
      </c>
      <c r="K208" s="51">
        <f t="shared" si="10"/>
        <v>11311.43788738579</v>
      </c>
      <c r="L208" s="51">
        <f>K208-$I$3</f>
        <v>1311.4378873857895</v>
      </c>
      <c r="M208">
        <f>((J148-MIN(J148,$K$2))+(I148-MIN(I148,MAX($L$2-MIN(J148,$K$2),0))))*R148</f>
        <v>0</v>
      </c>
      <c r="N208" s="51">
        <f>IF(L208&gt;0,0.19*L208,0)</f>
        <v>249.17319860330002</v>
      </c>
      <c r="O208" s="53">
        <f>K208-M208</f>
        <v>11311.43788738579</v>
      </c>
      <c r="P208" s="53">
        <f>K208-N208</f>
        <v>11062.26468878249</v>
      </c>
      <c r="Q208">
        <v>6.7999999999999996E-3</v>
      </c>
      <c r="R208">
        <f>MAX(0.19*Q194,0.1%)</f>
        <v>1E-3</v>
      </c>
      <c r="S208" s="56">
        <f>O208-P208</f>
        <v>249.17319860329917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si="9"/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ref="E211:E264" si="13">C199</f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4975.3923227602763</v>
      </c>
      <c r="J220" s="50">
        <f>$J$2*(1+E220)</f>
        <v>4027.2</v>
      </c>
      <c r="K220" s="51">
        <f t="shared" ref="K220:K256" si="14">I220+J220</f>
        <v>9002.5923227602761</v>
      </c>
      <c r="L220" s="51">
        <f>K220-$I$3</f>
        <v>-997.40767723972385</v>
      </c>
      <c r="M220">
        <f>((J160-MIN(J160,$K$2))+(I160-MIN(I160,MAX($L$2-MIN(J160,$K$2),0))))*R160</f>
        <v>0</v>
      </c>
      <c r="N220" s="51">
        <f>IF(L220&gt;0,0.19*L220,0)</f>
        <v>0</v>
      </c>
      <c r="O220" s="53">
        <f>K220-M220</f>
        <v>9002.5923227602761</v>
      </c>
      <c r="P220" s="53">
        <f>K220-N220</f>
        <v>9002.5923227602761</v>
      </c>
      <c r="Q220">
        <v>6.25E-2</v>
      </c>
      <c r="R220">
        <f>MAX(0.19*Q206,0.1%)</f>
        <v>1E-3</v>
      </c>
      <c r="S220" s="56">
        <f>O220-P220</f>
        <v>0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8192.4382921228171</v>
      </c>
      <c r="J232" s="50">
        <f>$J$2*(1+E232)</f>
        <v>4250</v>
      </c>
      <c r="K232" s="51">
        <f t="shared" si="14"/>
        <v>12442.438292122817</v>
      </c>
      <c r="L232" s="51">
        <f>K232-$I$3</f>
        <v>2442.4382921228171</v>
      </c>
      <c r="M232">
        <f>((J172-MIN(J172,$K$2))+(I172-MIN(I172,MAX($L$2-MIN(J172,$K$2),0))))*R172</f>
        <v>0</v>
      </c>
      <c r="N232" s="51">
        <f>IF(L232&gt;0,0.19*L232,0)</f>
        <v>464.06327550333526</v>
      </c>
      <c r="O232" s="53">
        <f>K232-M232</f>
        <v>12442.438292122817</v>
      </c>
      <c r="P232" s="53">
        <f>K232-N232</f>
        <v>11978.375016619482</v>
      </c>
      <c r="Q232">
        <v>4.41E-2</v>
      </c>
      <c r="R232">
        <f>MAX(0.19*Q218,0.1%)</f>
        <v>1.0792000000000001E-2</v>
      </c>
      <c r="S232" s="56">
        <f>O232-P232</f>
        <v>464.06327550333481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6085.4507735224279</v>
      </c>
      <c r="J244" s="50">
        <f>$J$2*(1+E244)</f>
        <v>4176.4000000000005</v>
      </c>
      <c r="K244" s="51">
        <f t="shared" si="14"/>
        <v>10261.850773522428</v>
      </c>
      <c r="L244" s="51">
        <f>K244-$I$3</f>
        <v>261.85077352242843</v>
      </c>
      <c r="M244">
        <f>((J184-MIN(J184,$K$2))+(I184-MIN(I184,MAX($L$2-MIN(J184,$K$2),0))))*R184</f>
        <v>0</v>
      </c>
      <c r="N244" s="51">
        <f>IF(L244&gt;0,0.19*L244,0)</f>
        <v>49.751646969261401</v>
      </c>
      <c r="O244" s="53">
        <f>K244-M244</f>
        <v>10261.850773522428</v>
      </c>
      <c r="P244" s="53">
        <f>K244-N244</f>
        <v>10212.099126553167</v>
      </c>
      <c r="Q244">
        <v>3.95E-2</v>
      </c>
      <c r="R244">
        <f>MAX(0.19*Q230,0.1%)</f>
        <v>8.7590000000000012E-3</v>
      </c>
      <c r="S244" s="56">
        <f>O244-P244</f>
        <v>49.751646969261856</v>
      </c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8839.7226747520508</v>
      </c>
      <c r="J256" s="50">
        <f>$J$2*(1+E256)</f>
        <v>4158</v>
      </c>
      <c r="K256" s="51">
        <f t="shared" si="14"/>
        <v>12997.722674752051</v>
      </c>
      <c r="L256" s="51">
        <f>K256-$I$3</f>
        <v>2997.7226747520508</v>
      </c>
      <c r="M256">
        <f>((J196-MIN(J196,$K$2))+(I196-MIN(I196,MAX($L$2-MIN(J196,$K$2),0))))*R196</f>
        <v>0</v>
      </c>
      <c r="N256" s="51">
        <f>IF(L256&gt;0,0.19*L256,0)</f>
        <v>569.56730820288965</v>
      </c>
      <c r="O256" s="53">
        <f>K256-M256</f>
        <v>12997.722674752051</v>
      </c>
      <c r="P256" s="53">
        <f>K256-N256</f>
        <v>12428.155366549161</v>
      </c>
      <c r="Q256">
        <v>3.3399999999999999E-2</v>
      </c>
      <c r="R256">
        <f>MAX(0.19*Q242,0.1%)</f>
        <v>7.6E-3</v>
      </c>
      <c r="S256" s="56">
        <f>O256-P256</f>
        <v>569.56730820288976</v>
      </c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3073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19050</xdr:colOff>
                <xdr:row>1</xdr:row>
                <xdr:rowOff>114300</xdr:rowOff>
              </to>
            </anchor>
          </objectPr>
        </oleObject>
      </mc:Choice>
      <mc:Fallback>
        <oleObject progId="Mbnd.EmbeddedDataStore" shapeId="307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13CF-179E-4865-BBF9-761F16F22054}">
  <dimension ref="A1:S9014"/>
  <sheetViews>
    <sheetView zoomScale="85" zoomScaleNormal="85" workbookViewId="0">
      <pane xSplit="1" topLeftCell="D1" activePane="topRight" state="frozen"/>
      <selection pane="topRight" activeCell="J9" sqref="J9"/>
    </sheetView>
  </sheetViews>
  <sheetFormatPr defaultRowHeight="14.25"/>
  <cols>
    <col min="1" max="1" width="10.7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2.375" bestFit="1" customWidth="1"/>
    <col min="10" max="10" width="13.75" bestFit="1" customWidth="1"/>
    <col min="11" max="11" width="20" bestFit="1" customWidth="1"/>
    <col min="12" max="12" width="24" bestFit="1" customWidth="1"/>
    <col min="13" max="13" width="11.625" bestFit="1" customWidth="1"/>
    <col min="14" max="14" width="11" bestFit="1" customWidth="1"/>
    <col min="15" max="16" width="13.5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f>I3*0.6</f>
        <v>60000</v>
      </c>
      <c r="J2" s="46">
        <f>I3*0.4</f>
        <v>40000</v>
      </c>
      <c r="K2">
        <v>25000</v>
      </c>
      <c r="L2">
        <v>100000</v>
      </c>
    </row>
    <row r="3" spans="1:19">
      <c r="I3" s="62">
        <v>100000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2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84961.856183528507</v>
      </c>
      <c r="J28" s="50">
        <f>$J$2*(1+E28)</f>
        <v>41440</v>
      </c>
      <c r="K28" s="51">
        <f t="shared" ref="K28:K76" si="2">I28+J28</f>
        <v>126401.85618352851</v>
      </c>
      <c r="L28" s="51">
        <f>K28-$I$3</f>
        <v>26401.856183528507</v>
      </c>
      <c r="M28" s="1">
        <f>((J28-MIN(J28,$K$2))+(I28-MIN(I28,MAX($L$2-MIN(J28,$K$2),0))))*R28</f>
        <v>181.59196683030908</v>
      </c>
      <c r="N28" s="51">
        <f>IF(L28&gt;0,0.19*L28,0)</f>
        <v>5016.3526748704162</v>
      </c>
      <c r="O28" s="53">
        <f>K28-M28</f>
        <v>126220.2642166982</v>
      </c>
      <c r="P28" s="53">
        <f>K28-N28</f>
        <v>121385.50350865809</v>
      </c>
      <c r="Q28">
        <v>3.3099999999999997E-2</v>
      </c>
      <c r="R28">
        <f>MAX(0.19*Q14,0.1%)</f>
        <v>6.8780000000000004E-3</v>
      </c>
      <c r="S28" s="56">
        <f>O28-P28</f>
        <v>4834.7607080401067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66232.728752899624</v>
      </c>
      <c r="J40" s="50">
        <f>$J$2*(1+E40)</f>
        <v>41323.999999999993</v>
      </c>
      <c r="K40" s="51">
        <f t="shared" si="2"/>
        <v>107556.72875289962</v>
      </c>
      <c r="L40" s="51">
        <f>K40-$I$3</f>
        <v>7556.7287528996239</v>
      </c>
      <c r="M40" s="1">
        <f>((J40-MIN(J40,$K$2))+(I40-MIN(I40,MAX($L$2-MIN(J40,$K$2),0))))*R40</f>
        <v>104.83272799999995</v>
      </c>
      <c r="N40" s="51">
        <f>IF(L40&gt;0,0.19*L40,0)</f>
        <v>1435.7784630509286</v>
      </c>
      <c r="O40" s="53">
        <f>K40-M40</f>
        <v>107451.89602489963</v>
      </c>
      <c r="P40" s="53">
        <f>K40-N40</f>
        <v>106120.9502898487</v>
      </c>
      <c r="Q40">
        <v>4.1599999999999998E-2</v>
      </c>
      <c r="R40">
        <f>MAX(0.19*Q26,0.1%)</f>
        <v>6.4219999999999998E-3</v>
      </c>
      <c r="S40" s="56">
        <f>O40-P40</f>
        <v>1330.9457350509329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29357.794472235928</v>
      </c>
      <c r="J52" s="50">
        <f>$J$2*(1+E52)</f>
        <v>41664</v>
      </c>
      <c r="K52" s="51">
        <f t="shared" si="2"/>
        <v>71021.794472235924</v>
      </c>
      <c r="L52" s="51">
        <f>K52-$I$3</f>
        <v>-28978.205527764076</v>
      </c>
      <c r="M52" s="1">
        <f>((J52-MIN(J52,$K$2))+(I52-MIN(I52,MAX($L$2-MIN(J52,$K$2),0))))*R52</f>
        <v>127.59624800000002</v>
      </c>
      <c r="N52" s="51">
        <f>IF(L52&gt;0,0.19*L52,0)</f>
        <v>0</v>
      </c>
      <c r="O52" s="53">
        <f>K52-M52</f>
        <v>70894.198224235923</v>
      </c>
      <c r="P52" s="53">
        <f>K52-N52</f>
        <v>71021.794472235924</v>
      </c>
      <c r="Q52">
        <v>6.5199999999999994E-2</v>
      </c>
      <c r="R52">
        <f>MAX(0.19*Q38,0.1%)</f>
        <v>7.6570000000000006E-3</v>
      </c>
      <c r="S52" s="56">
        <f>O52-P52</f>
        <v>-127.59624800000165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88111.613360050294</v>
      </c>
      <c r="J64" s="50">
        <f>$J$2*(1+E64)</f>
        <v>42608</v>
      </c>
      <c r="K64" s="51">
        <f t="shared" si="2"/>
        <v>130719.61336005029</v>
      </c>
      <c r="L64" s="51">
        <f>K64-$I$3</f>
        <v>30719.613360050294</v>
      </c>
      <c r="M64" s="1">
        <f>((J64-MIN(J64,$K$2))+(I64-MIN(I64,MAX($L$2-MIN(J64,$K$2),0))))*R64</f>
        <v>356.62399149682392</v>
      </c>
      <c r="N64" s="51">
        <f>IF(L64&gt;0,0.19*L64,0)</f>
        <v>5836.7265384095563</v>
      </c>
      <c r="O64" s="53">
        <f>K64-M64</f>
        <v>130362.98936855348</v>
      </c>
      <c r="P64" s="53">
        <f>K64-N64</f>
        <v>124882.88682164074</v>
      </c>
      <c r="Q64">
        <v>4.0300000000000002E-2</v>
      </c>
      <c r="R64">
        <f>MAX(0.19*Q50,0.1%)</f>
        <v>1.1609000000000001E-2</v>
      </c>
      <c r="S64" s="56">
        <f>O64-P64</f>
        <v>5480.1025469127344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71259.823753269593</v>
      </c>
      <c r="J76" s="50">
        <f>$J$2*(1+E76)</f>
        <v>41612</v>
      </c>
      <c r="K76" s="51">
        <f t="shared" si="2"/>
        <v>112871.82375326959</v>
      </c>
      <c r="L76" s="51">
        <f>K76-$I$3</f>
        <v>12871.823753269593</v>
      </c>
      <c r="M76" s="1">
        <f>((J76-MIN(J76,$K$2))+(I76-MIN(I76,MAX($L$2-MIN(J76,$K$2),0))))*R76</f>
        <v>134.14190000000002</v>
      </c>
      <c r="N76" s="51">
        <f>IF(L76&gt;0,0.19*L76,0)</f>
        <v>2445.6465131212226</v>
      </c>
      <c r="O76" s="53">
        <f>K76-M76</f>
        <v>112737.68185326959</v>
      </c>
      <c r="P76" s="53">
        <f>K76-N76</f>
        <v>110426.17724014838</v>
      </c>
      <c r="Q76">
        <v>3.56E-2</v>
      </c>
      <c r="R76">
        <f>MAX(0.19*Q62,0.1%)</f>
        <v>8.0750000000000006E-3</v>
      </c>
      <c r="S76" s="56">
        <f>O76-P76</f>
        <v>2311.5046131212148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si="1"/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ref="E83:E146" si="5">C71</f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47499.066643840764</v>
      </c>
      <c r="J88" s="50">
        <f>$J$2*(1+E88)</f>
        <v>41424</v>
      </c>
      <c r="K88" s="51">
        <f t="shared" ref="K88:K136" si="6">I88+J88</f>
        <v>88923.066643840764</v>
      </c>
      <c r="L88" s="51">
        <f>K88-$I$3</f>
        <v>-11076.933356159236</v>
      </c>
      <c r="M88" s="1">
        <f>((J88-MIN(J88,$K$2))+(I88-MIN(I88,MAX($L$2-MIN(J88,$K$2),0))))*R88</f>
        <v>110.15576799999999</v>
      </c>
      <c r="N88" s="51">
        <f>IF(L88&gt;0,0.19*L88,0)</f>
        <v>0</v>
      </c>
      <c r="O88" s="53">
        <f>K88-M88</f>
        <v>88812.910875840767</v>
      </c>
      <c r="P88" s="53">
        <f>K88-N88</f>
        <v>88923.066643840764</v>
      </c>
      <c r="Q88">
        <v>4.7300000000000002E-2</v>
      </c>
      <c r="R88">
        <f>MAX(0.19*Q74,0.1%)</f>
        <v>6.7069999999999994E-3</v>
      </c>
      <c r="S88" s="56">
        <f>O88-P88</f>
        <v>-110.1557679999969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75744.170037642863</v>
      </c>
      <c r="J100" s="50">
        <f>$J$2*(1+E100)</f>
        <v>41891.999999999993</v>
      </c>
      <c r="K100" s="51">
        <f t="shared" si="6"/>
        <v>117636.17003764285</v>
      </c>
      <c r="L100" s="51">
        <f>K100-$I$3</f>
        <v>17636.170037642849</v>
      </c>
      <c r="M100" s="1">
        <f>((J100-MIN(J100,$K$2))+(I100-MIN(I100,MAX($L$2-MIN(J100,$K$2),0))))*R100</f>
        <v>149.78399212970075</v>
      </c>
      <c r="N100" s="51">
        <f>IF(L100&gt;0,0.19*L100,0)</f>
        <v>3350.8723071521413</v>
      </c>
      <c r="O100" s="53">
        <f>K100-M100</f>
        <v>117486.38604551315</v>
      </c>
      <c r="P100" s="53">
        <f>K100-N100</f>
        <v>114285.29773049071</v>
      </c>
      <c r="Q100">
        <v>4.2200000000000001E-2</v>
      </c>
      <c r="R100">
        <f>MAX(0.19*Q86,0.1%)</f>
        <v>8.4929999999999988E-3</v>
      </c>
      <c r="S100" s="56">
        <f>O100-P100</f>
        <v>3201.0883150224399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64833.896923742417</v>
      </c>
      <c r="J112" s="50">
        <f>$J$2*(1+E112)</f>
        <v>41688</v>
      </c>
      <c r="K112" s="51">
        <f t="shared" si="6"/>
        <v>106521.89692374242</v>
      </c>
      <c r="L112" s="51">
        <f>K112-$I$3</f>
        <v>6521.8969237424171</v>
      </c>
      <c r="M112" s="1">
        <f>((J112-MIN(J112,$K$2))+(I112-MIN(I112,MAX($L$2-MIN(J112,$K$2),0))))*R112</f>
        <v>151.24334400000001</v>
      </c>
      <c r="N112" s="51">
        <f>IF(L112&gt;0,0.19*L112,0)</f>
        <v>1239.1604155110592</v>
      </c>
      <c r="O112" s="53">
        <f>K112-M112</f>
        <v>106370.65357974241</v>
      </c>
      <c r="P112" s="53">
        <f>K112-N112</f>
        <v>105282.73650823136</v>
      </c>
      <c r="Q112">
        <v>2.5899999999999999E-2</v>
      </c>
      <c r="R112">
        <f>MAX(0.19*Q98,0.1%)</f>
        <v>9.0629999999999999E-3</v>
      </c>
      <c r="S112" s="56">
        <f>O112-P112</f>
        <v>1087.9170715110522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60154.234487196365</v>
      </c>
      <c r="J124" s="50">
        <f>$J$2*(1+E124)</f>
        <v>41036</v>
      </c>
      <c r="K124" s="51">
        <f t="shared" si="6"/>
        <v>101190.23448719637</v>
      </c>
      <c r="L124" s="51">
        <f>K124-$I$3</f>
        <v>1190.2344871963724</v>
      </c>
      <c r="M124" s="1">
        <f>((J124-MIN(J124,$K$2))+(I124-MIN(I124,MAX($L$2-MIN(J124,$K$2),0))))*R124</f>
        <v>77.694419999999994</v>
      </c>
      <c r="N124" s="51">
        <f>IF(L124&gt;0,0.19*L124,0)</f>
        <v>226.14455256731074</v>
      </c>
      <c r="O124" s="53">
        <f>K124-M124</f>
        <v>101112.54006719637</v>
      </c>
      <c r="P124" s="53">
        <f>K124-N124</f>
        <v>100964.08993462907</v>
      </c>
      <c r="Q124">
        <v>2.3099999999999999E-2</v>
      </c>
      <c r="R124">
        <f>MAX(0.19*Q110,0.1%)</f>
        <v>4.8449999999999995E-3</v>
      </c>
      <c r="S124" s="56">
        <f>O124-P124</f>
        <v>148.45013256730454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54225.11401102534</v>
      </c>
      <c r="J136" s="50">
        <f>$J$2*(1+E136)</f>
        <v>40923.999999999993</v>
      </c>
      <c r="K136" s="51">
        <f t="shared" si="6"/>
        <v>95149.114011025333</v>
      </c>
      <c r="L136" s="51">
        <f>K136-$I$3</f>
        <v>-4850.8859889746673</v>
      </c>
      <c r="M136" s="1">
        <f>((J136-MIN(J136,$K$2))+(I136-MIN(I136,MAX($L$2-MIN(J136,$K$2),0))))*R136</f>
        <v>75.638999999999982</v>
      </c>
      <c r="N136" s="51">
        <f>IF(L136&gt;0,0.19*L136,0)</f>
        <v>0</v>
      </c>
      <c r="O136" s="53">
        <f>K136-M136</f>
        <v>95073.475011025337</v>
      </c>
      <c r="P136" s="53">
        <f>K136-N136</f>
        <v>95149.114011025333</v>
      </c>
      <c r="Q136">
        <v>1.7600000000000001E-2</v>
      </c>
      <c r="R136">
        <f>MAX(0.19*Q122,0.1%)</f>
        <v>4.7500000000000007E-3</v>
      </c>
      <c r="S136" s="56">
        <f>O136-P136</f>
        <v>-75.638999999995576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si="5"/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ref="E147:E210" si="9">C135</f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66826.272537853438</v>
      </c>
      <c r="J148" s="50">
        <f>$J$2*(1+E148)</f>
        <v>40704</v>
      </c>
      <c r="K148" s="51">
        <f t="shared" ref="K148:K208" si="10">I148+J148</f>
        <v>107530.27253785344</v>
      </c>
      <c r="L148" s="51">
        <f>K148-$I$3</f>
        <v>7530.2725378534378</v>
      </c>
      <c r="M148" s="1">
        <f>((J148-MIN(J148,$K$2))+(I148-MIN(I148,MAX($L$2-MIN(J148,$K$2),0))))*R148</f>
        <v>52.215800000000002</v>
      </c>
      <c r="N148" s="51">
        <f>IF(L148&gt;0,0.19*L148,0)</f>
        <v>1430.7517821921533</v>
      </c>
      <c r="O148" s="53">
        <f>K148-M148</f>
        <v>107478.05673785343</v>
      </c>
      <c r="P148" s="53">
        <f>K148-N148</f>
        <v>106099.52075566129</v>
      </c>
      <c r="Q148">
        <v>1.49E-2</v>
      </c>
      <c r="R148">
        <f>MAX(0.19*Q134,0.1%)</f>
        <v>3.3250000000000003E-3</v>
      </c>
      <c r="S148" s="56">
        <f>O148-P148</f>
        <v>1378.5359821921447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73902.882538809048</v>
      </c>
      <c r="J160" s="50">
        <f>$J$2*(1+E160)</f>
        <v>40596</v>
      </c>
      <c r="K160" s="51">
        <f t="shared" si="10"/>
        <v>114498.88253880905</v>
      </c>
      <c r="L160" s="51">
        <f>K160-$I$3</f>
        <v>14498.882538809048</v>
      </c>
      <c r="M160" s="1">
        <f>((J160-MIN(J160,$K$2))+(I160-MIN(I160,MAX($L$2-MIN(J160,$K$2),0))))*R160</f>
        <v>48.004488000000002</v>
      </c>
      <c r="N160" s="51">
        <f>IF(L160&gt;0,0.19*L160,0)</f>
        <v>2754.7876823737192</v>
      </c>
      <c r="O160" s="53">
        <f>K160-M160</f>
        <v>114450.87805080904</v>
      </c>
      <c r="P160" s="53">
        <f>K160-N160</f>
        <v>111744.09485643533</v>
      </c>
      <c r="Q160">
        <v>1.52E-2</v>
      </c>
      <c r="R160">
        <f>MAX(0.19*Q146,0.1%)</f>
        <v>3.078E-3</v>
      </c>
      <c r="S160" s="56">
        <f>O160-P160</f>
        <v>2706.783194373711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54300.177892956759</v>
      </c>
      <c r="J172" s="50">
        <f>$J$2*(1+E172)</f>
        <v>40608.000000000007</v>
      </c>
      <c r="K172" s="51">
        <f t="shared" si="10"/>
        <v>94908.177892956766</v>
      </c>
      <c r="L172" s="51">
        <f>K172-$I$3</f>
        <v>-5091.8221070432337</v>
      </c>
      <c r="M172" s="1">
        <f>((J172-MIN(J172,$K$2))+(I172-MIN(I172,MAX($L$2-MIN(J172,$K$2),0))))*R172</f>
        <v>44.18624800000002</v>
      </c>
      <c r="N172" s="51">
        <f>IF(L172&gt;0,0.19*L172,0)</f>
        <v>0</v>
      </c>
      <c r="O172" s="53">
        <f>K172-M172</f>
        <v>94863.991644956768</v>
      </c>
      <c r="P172" s="53">
        <f>K172-N172</f>
        <v>94908.177892956766</v>
      </c>
      <c r="Q172">
        <v>1.83E-2</v>
      </c>
      <c r="R172">
        <f>MAX(0.19*Q158,0.1%)</f>
        <v>2.8310000000000002E-3</v>
      </c>
      <c r="S172" s="56">
        <f>O172-P172</f>
        <v>-44.186247999998159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60148.07983983498</v>
      </c>
      <c r="J184" s="50">
        <f>$J$2*(1+E184)</f>
        <v>40732</v>
      </c>
      <c r="K184" s="51">
        <f t="shared" si="10"/>
        <v>100880.07983983497</v>
      </c>
      <c r="L184" s="51">
        <f>K184-$I$3</f>
        <v>880.07983983497252</v>
      </c>
      <c r="M184" s="1">
        <f>((J184-MIN(J184,$K$2))+(I184-MIN(I184,MAX($L$2-MIN(J184,$K$2),0))))*R184</f>
        <v>48.124188000000004</v>
      </c>
      <c r="N184" s="51">
        <f>IF(L184&gt;0,0.19*L184,0)</f>
        <v>167.21516956864477</v>
      </c>
      <c r="O184" s="53">
        <f>K184-M184</f>
        <v>100831.95565183497</v>
      </c>
      <c r="P184" s="53">
        <f>K184-N184</f>
        <v>100712.86467026632</v>
      </c>
      <c r="Q184">
        <v>1.21E-2</v>
      </c>
      <c r="R184">
        <f>MAX(0.19*Q170,0.1%)</f>
        <v>3.0590000000000001E-3</v>
      </c>
      <c r="S184" s="56">
        <f>O184-P184</f>
        <v>119.09098156864638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59162.718508917416</v>
      </c>
      <c r="J196" s="50">
        <f>$J$2*(1+E196)</f>
        <v>40484</v>
      </c>
      <c r="K196" s="51">
        <f t="shared" si="10"/>
        <v>99646.718508917416</v>
      </c>
      <c r="L196" s="51">
        <f>K196-$I$3</f>
        <v>-353.28149108258367</v>
      </c>
      <c r="M196" s="1">
        <f>((J196-MIN(J196,$K$2))+(I196-MIN(I196,MAX($L$2-MIN(J196,$K$2),0))))*R196</f>
        <v>39.422263999999998</v>
      </c>
      <c r="N196" s="51">
        <f>IF(L196&gt;0,0.19*L196,0)</f>
        <v>0</v>
      </c>
      <c r="O196" s="53">
        <f>K196-M196</f>
        <v>99607.296244917423</v>
      </c>
      <c r="P196" s="53">
        <f>K196-N196</f>
        <v>99646.718508917416</v>
      </c>
      <c r="Q196">
        <v>5.1000000000000004E-3</v>
      </c>
      <c r="R196">
        <f>MAX(0.19*Q182,0.1%)</f>
        <v>2.5460000000000001E-3</v>
      </c>
      <c r="S196" s="56">
        <f>O196-P196</f>
        <v>-39.422263999993447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72910.378873857888</v>
      </c>
      <c r="J208" s="50">
        <f>$J$2*(1+E208)</f>
        <v>40204.000000000007</v>
      </c>
      <c r="K208" s="51">
        <f t="shared" si="10"/>
        <v>113114.3788738579</v>
      </c>
      <c r="L208" s="51">
        <f>K208-$I$3</f>
        <v>13114.378873857902</v>
      </c>
      <c r="M208" s="1">
        <f>((J208-MIN(J208,$K$2))+(I208-MIN(I208,MAX($L$2-MIN(J208,$K$2),0))))*R208</f>
        <v>15.204000000000008</v>
      </c>
      <c r="N208" s="51">
        <f>IF(L208&gt;0,0.19*L208,0)</f>
        <v>2491.7319860330017</v>
      </c>
      <c r="O208" s="53">
        <f>K208-M208</f>
        <v>113099.1748738579</v>
      </c>
      <c r="P208" s="53">
        <f>K208-N208</f>
        <v>110622.6468878249</v>
      </c>
      <c r="Q208">
        <v>6.7999999999999996E-3</v>
      </c>
      <c r="R208">
        <f>MAX(0.19*Q194,0.1%)</f>
        <v>1E-3</v>
      </c>
      <c r="S208" s="56">
        <f>O208-P208</f>
        <v>2476.5279860330047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si="9"/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ref="E211:E264" si="13">C199</f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49753.923227602761</v>
      </c>
      <c r="J220" s="50">
        <f>$J$2*(1+E220)</f>
        <v>40272</v>
      </c>
      <c r="K220" s="51">
        <f t="shared" ref="K220:K256" si="14">I220+J220</f>
        <v>90025.923227602761</v>
      </c>
      <c r="L220" s="51">
        <f>K220-$I$3</f>
        <v>-9974.0767723972385</v>
      </c>
      <c r="M220" s="1">
        <f>((J220-MIN(J220,$K$2))+(I220-MIN(I220,MAX($L$2-MIN(J220,$K$2),0))))*R220</f>
        <v>15.272</v>
      </c>
      <c r="N220" s="51">
        <f>IF(L220&gt;0,0.19*L220,0)</f>
        <v>0</v>
      </c>
      <c r="O220" s="53">
        <f>K220-M220</f>
        <v>90010.651227602764</v>
      </c>
      <c r="P220" s="53">
        <f>K220-N220</f>
        <v>90025.923227602761</v>
      </c>
      <c r="Q220">
        <v>6.25E-2</v>
      </c>
      <c r="R220">
        <f>MAX(0.19*Q206,0.1%)</f>
        <v>1E-3</v>
      </c>
      <c r="S220" s="56">
        <f>O220-P220</f>
        <v>-15.271999999997206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81924.382921228171</v>
      </c>
      <c r="J232" s="50">
        <f>$J$2*(1+E232)</f>
        <v>42500</v>
      </c>
      <c r="K232" s="51">
        <f t="shared" si="14"/>
        <v>124424.38292122817</v>
      </c>
      <c r="L232" s="51">
        <f>K232-$I$3</f>
        <v>24424.382921228171</v>
      </c>
      <c r="M232" s="1">
        <f>((J232-MIN(J232,$K$2))+(I232-MIN(I232,MAX($L$2-MIN(J232,$K$2),0))))*R232</f>
        <v>263.58794048589442</v>
      </c>
      <c r="N232" s="51">
        <f>IF(L232&gt;0,0.19*L232,0)</f>
        <v>4640.6327550333526</v>
      </c>
      <c r="O232" s="53">
        <f>K232-M232</f>
        <v>124160.79498074227</v>
      </c>
      <c r="P232" s="53">
        <f>K232-N232</f>
        <v>119783.75016619482</v>
      </c>
      <c r="Q232">
        <v>4.41E-2</v>
      </c>
      <c r="R232">
        <f>MAX(0.19*Q218,0.1%)</f>
        <v>1.0792000000000001E-2</v>
      </c>
      <c r="S232" s="56">
        <f>O232-P232</f>
        <v>4377.0448145474511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60854.507735224273</v>
      </c>
      <c r="J244" s="50">
        <f>$J$2*(1+E244)</f>
        <v>41764</v>
      </c>
      <c r="K244" s="51">
        <f t="shared" si="14"/>
        <v>102618.50773522427</v>
      </c>
      <c r="L244" s="51">
        <f>K244-$I$3</f>
        <v>2618.5077352242661</v>
      </c>
      <c r="M244" s="1">
        <f>((J244-MIN(J244,$K$2))+(I244-MIN(I244,MAX($L$2-MIN(J244,$K$2),0))))*R244</f>
        <v>146.83587600000001</v>
      </c>
      <c r="N244" s="51">
        <f>IF(L244&gt;0,0.19*L244,0)</f>
        <v>497.51646969261054</v>
      </c>
      <c r="O244" s="53">
        <f>K244-M244</f>
        <v>102471.67185922427</v>
      </c>
      <c r="P244" s="53">
        <f>K244-N244</f>
        <v>102120.99126553166</v>
      </c>
      <c r="Q244">
        <v>3.95E-2</v>
      </c>
      <c r="R244">
        <f>MAX(0.19*Q230,0.1%)</f>
        <v>8.7590000000000012E-3</v>
      </c>
      <c r="S244" s="56">
        <f>O244-P244</f>
        <v>350.68059369261027</v>
      </c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88397.226747520515</v>
      </c>
      <c r="J256" s="50">
        <f>$J$2*(1+E256)</f>
        <v>41580</v>
      </c>
      <c r="K256" s="51">
        <f t="shared" si="14"/>
        <v>129977.22674752052</v>
      </c>
      <c r="L256" s="51">
        <f>K256-$I$3</f>
        <v>29977.226747520515</v>
      </c>
      <c r="M256" s="1">
        <f>((J256-MIN(J256,$K$2))+(I256-MIN(I256,MAX($L$2-MIN(J256,$K$2),0))))*R256</f>
        <v>227.82692328115593</v>
      </c>
      <c r="N256" s="51">
        <f>IF(L256&gt;0,0.19*L256,0)</f>
        <v>5695.6730820288976</v>
      </c>
      <c r="O256" s="53">
        <f>K256-M256</f>
        <v>129749.39982423936</v>
      </c>
      <c r="P256" s="53">
        <f>K256-N256</f>
        <v>124281.55366549162</v>
      </c>
      <c r="Q256">
        <v>3.3399999999999999E-2</v>
      </c>
      <c r="R256">
        <f>MAX(0.19*Q242,0.1%)</f>
        <v>7.6E-3</v>
      </c>
      <c r="S256" s="56">
        <f>O256-P256</f>
        <v>5467.8461587477359</v>
      </c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4097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790575</xdr:colOff>
                <xdr:row>1</xdr:row>
                <xdr:rowOff>114300</xdr:rowOff>
              </to>
            </anchor>
          </objectPr>
        </oleObject>
      </mc:Choice>
      <mc:Fallback>
        <oleObject progId="Mbnd.EmbeddedDataStore" shapeId="409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D74F-3793-443C-9579-70DDB8F46FC4}">
  <dimension ref="A1:S9014"/>
  <sheetViews>
    <sheetView zoomScale="85" zoomScaleNormal="85" workbookViewId="0">
      <pane xSplit="1" topLeftCell="D1" activePane="topRight" state="frozen"/>
      <selection pane="topRight" activeCell="Q3" sqref="Q3:S3"/>
    </sheetView>
  </sheetViews>
  <sheetFormatPr defaultRowHeight="14.25"/>
  <cols>
    <col min="1" max="1" width="10.7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2.375" bestFit="1" customWidth="1"/>
    <col min="10" max="10" width="13.75" bestFit="1" customWidth="1"/>
    <col min="11" max="11" width="20" bestFit="1" customWidth="1"/>
    <col min="12" max="12" width="24" bestFit="1" customWidth="1"/>
    <col min="13" max="13" width="11.625" bestFit="1" customWidth="1"/>
    <col min="14" max="14" width="11" bestFit="1" customWidth="1"/>
    <col min="15" max="16" width="13.5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f>I3*0.6</f>
        <v>90000</v>
      </c>
      <c r="J2" s="46">
        <f>I3*0.4</f>
        <v>60000</v>
      </c>
      <c r="K2">
        <v>25000</v>
      </c>
      <c r="L2">
        <v>100000</v>
      </c>
    </row>
    <row r="3" spans="1:19">
      <c r="I3" s="62">
        <v>150000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2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127442.78427529275</v>
      </c>
      <c r="J28" s="50">
        <f>$J$2*(1+E28)</f>
        <v>62160</v>
      </c>
      <c r="K28" s="51">
        <f t="shared" ref="K28:K76" si="2">I28+J28</f>
        <v>189602.78427529277</v>
      </c>
      <c r="L28" s="51">
        <f>K28-$I$3</f>
        <v>39602.784275292768</v>
      </c>
      <c r="M28" s="1">
        <f>((J28-MIN(J28,$K$2))+(I28-MIN(I28,MAX($L$2-MIN(J28,$K$2),0))))*R28</f>
        <v>616.28795024546355</v>
      </c>
      <c r="N28" s="51">
        <f>IF(L28&gt;0,0.19*L28,0)</f>
        <v>7524.5290123056257</v>
      </c>
      <c r="O28" s="53">
        <f>K28-M28</f>
        <v>188986.49632504731</v>
      </c>
      <c r="P28" s="53">
        <f>K28-N28</f>
        <v>182078.25526298714</v>
      </c>
      <c r="Q28">
        <v>3.3099999999999997E-2</v>
      </c>
      <c r="R28">
        <f>MAX(0.19*Q14,0.1%)</f>
        <v>6.8780000000000004E-3</v>
      </c>
      <c r="S28" s="56">
        <f>O28-P28</f>
        <v>6908.2410620601731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99349.093129349421</v>
      </c>
      <c r="J40" s="50">
        <f>$J$2*(1+E40)</f>
        <v>61985.999999999993</v>
      </c>
      <c r="K40" s="51">
        <f t="shared" si="2"/>
        <v>161335.09312934941</v>
      </c>
      <c r="L40" s="51">
        <f>K40-$I$3</f>
        <v>11335.093129349407</v>
      </c>
      <c r="M40" s="1">
        <f>((J40-MIN(J40,$K$2))+(I40-MIN(I40,MAX($L$2-MIN(J40,$K$2),0))))*R40</f>
        <v>393.89396807668192</v>
      </c>
      <c r="N40" s="51">
        <f>IF(L40&gt;0,0.19*L40,0)</f>
        <v>2153.6676945763875</v>
      </c>
      <c r="O40" s="53">
        <f>K40-M40</f>
        <v>160941.19916127273</v>
      </c>
      <c r="P40" s="53">
        <f>K40-N40</f>
        <v>159181.42543477303</v>
      </c>
      <c r="Q40">
        <v>4.1599999999999998E-2</v>
      </c>
      <c r="R40">
        <f>MAX(0.19*Q26,0.1%)</f>
        <v>6.4219999999999998E-3</v>
      </c>
      <c r="S40" s="56">
        <f>O40-P40</f>
        <v>1759.7737264996977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44036.691708353894</v>
      </c>
      <c r="J52" s="50">
        <f>$J$2*(1+E52)</f>
        <v>62496.000000000007</v>
      </c>
      <c r="K52" s="51">
        <f t="shared" si="2"/>
        <v>106532.6917083539</v>
      </c>
      <c r="L52" s="51">
        <f>K52-$I$3</f>
        <v>-43467.308291646099</v>
      </c>
      <c r="M52" s="1">
        <f>((J52-MIN(J52,$K$2))+(I52-MIN(I52,MAX($L$2-MIN(J52,$K$2),0))))*R52</f>
        <v>287.10687200000007</v>
      </c>
      <c r="N52" s="51">
        <f>IF(L52&gt;0,0.19*L52,0)</f>
        <v>0</v>
      </c>
      <c r="O52" s="53">
        <f>K52-M52</f>
        <v>106245.5848363539</v>
      </c>
      <c r="P52" s="53">
        <f>K52-N52</f>
        <v>106532.6917083539</v>
      </c>
      <c r="Q52">
        <v>6.5199999999999994E-2</v>
      </c>
      <c r="R52">
        <f>MAX(0.19*Q38,0.1%)</f>
        <v>7.6570000000000006E-3</v>
      </c>
      <c r="S52" s="56">
        <f>O52-P52</f>
        <v>-287.10687200000393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132167.42004007543</v>
      </c>
      <c r="J64" s="50">
        <f>$J$2*(1+E64)</f>
        <v>63911.999999999993</v>
      </c>
      <c r="K64" s="51">
        <f t="shared" si="2"/>
        <v>196079.42004007543</v>
      </c>
      <c r="L64" s="51">
        <f>K64-$I$3</f>
        <v>46079.420040075434</v>
      </c>
      <c r="M64" s="1">
        <f>((J64-MIN(J64,$K$2))+(I64-MIN(I64,MAX($L$2-MIN(J64,$K$2),0))))*R64</f>
        <v>1115.3859872452358</v>
      </c>
      <c r="N64" s="51">
        <f>IF(L64&gt;0,0.19*L64,0)</f>
        <v>8755.089807614333</v>
      </c>
      <c r="O64" s="53">
        <f>K64-M64</f>
        <v>194964.03405283019</v>
      </c>
      <c r="P64" s="53">
        <f>K64-N64</f>
        <v>187324.3302324611</v>
      </c>
      <c r="Q64">
        <v>4.0300000000000002E-2</v>
      </c>
      <c r="R64">
        <f>MAX(0.19*Q50,0.1%)</f>
        <v>1.1609000000000001E-2</v>
      </c>
      <c r="S64" s="56">
        <f>O64-P64</f>
        <v>7639.70382036909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106889.73562990439</v>
      </c>
      <c r="J76" s="50">
        <f>$J$2*(1+E76)</f>
        <v>62418</v>
      </c>
      <c r="K76" s="51">
        <f t="shared" si="2"/>
        <v>169307.73562990437</v>
      </c>
      <c r="L76" s="51">
        <f>K76-$I$3</f>
        <v>19307.735629904375</v>
      </c>
      <c r="M76" s="1">
        <f>((J76-MIN(J76,$K$2))+(I76-MIN(I76,MAX($L$2-MIN(J76,$K$2),0))))*R76</f>
        <v>559.65996521147804</v>
      </c>
      <c r="N76" s="51">
        <f>IF(L76&gt;0,0.19*L76,0)</f>
        <v>3668.4697696818312</v>
      </c>
      <c r="O76" s="53">
        <f>K76-M76</f>
        <v>168748.07566469291</v>
      </c>
      <c r="P76" s="53">
        <f>K76-N76</f>
        <v>165639.26586022254</v>
      </c>
      <c r="Q76">
        <v>3.56E-2</v>
      </c>
      <c r="R76">
        <f>MAX(0.19*Q62,0.1%)</f>
        <v>8.0750000000000006E-3</v>
      </c>
      <c r="S76" s="56">
        <f>O76-P76</f>
        <v>3108.8098044703656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si="1"/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ref="E83:E146" si="5">C71</f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71248.599965761139</v>
      </c>
      <c r="J88" s="50">
        <f>$J$2*(1+E88)</f>
        <v>62136.000000000007</v>
      </c>
      <c r="K88" s="51">
        <f t="shared" ref="K88:K136" si="6">I88+J88</f>
        <v>133384.59996576115</v>
      </c>
      <c r="L88" s="51">
        <f>K88-$I$3</f>
        <v>-16615.400034238846</v>
      </c>
      <c r="M88" s="1">
        <f>((J88-MIN(J88,$K$2))+(I88-MIN(I88,MAX($L$2-MIN(J88,$K$2),0))))*R88</f>
        <v>249.07115200000004</v>
      </c>
      <c r="N88" s="51">
        <f>IF(L88&gt;0,0.19*L88,0)</f>
        <v>0</v>
      </c>
      <c r="O88" s="53">
        <f>K88-M88</f>
        <v>133135.52881376116</v>
      </c>
      <c r="P88" s="53">
        <f>K88-N88</f>
        <v>133384.59996576115</v>
      </c>
      <c r="Q88">
        <v>4.7300000000000002E-2</v>
      </c>
      <c r="R88">
        <f>MAX(0.19*Q74,0.1%)</f>
        <v>6.7069999999999994E-3</v>
      </c>
      <c r="S88" s="56">
        <f>O88-P88</f>
        <v>-249.07115199998952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113616.25505646429</v>
      </c>
      <c r="J100" s="50">
        <f>$J$2*(1+E100)</f>
        <v>62837.999999999993</v>
      </c>
      <c r="K100" s="51">
        <f t="shared" si="6"/>
        <v>176454.25505646429</v>
      </c>
      <c r="L100" s="51">
        <f>K100-$I$3</f>
        <v>26454.255056464288</v>
      </c>
      <c r="M100" s="1">
        <f>((J100-MIN(J100,$K$2))+(I100-MIN(I100,MAX($L$2-MIN(J100,$K$2),0))))*R100</f>
        <v>649.32598819455109</v>
      </c>
      <c r="N100" s="51">
        <f>IF(L100&gt;0,0.19*L100,0)</f>
        <v>5026.3084607282144</v>
      </c>
      <c r="O100" s="53">
        <f>K100-M100</f>
        <v>175804.92906826973</v>
      </c>
      <c r="P100" s="53">
        <f>K100-N100</f>
        <v>171427.94659573608</v>
      </c>
      <c r="Q100">
        <v>4.2200000000000001E-2</v>
      </c>
      <c r="R100">
        <f>MAX(0.19*Q86,0.1%)</f>
        <v>8.4929999999999988E-3</v>
      </c>
      <c r="S100" s="56">
        <f>O100-P100</f>
        <v>4376.9824725336512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97250.845385613633</v>
      </c>
      <c r="J112" s="50">
        <f>$J$2*(1+E112)</f>
        <v>62532</v>
      </c>
      <c r="K112" s="51">
        <f t="shared" si="6"/>
        <v>159782.84538561362</v>
      </c>
      <c r="L112" s="51">
        <f>K112-$I$3</f>
        <v>9782.8453856136184</v>
      </c>
      <c r="M112" s="1">
        <f>((J112-MIN(J112,$K$2))+(I112-MIN(I112,MAX($L$2-MIN(J112,$K$2),0))))*R112</f>
        <v>541.81192772981638</v>
      </c>
      <c r="N112" s="51">
        <f>IF(L112&gt;0,0.19*L112,0)</f>
        <v>1858.7406232665876</v>
      </c>
      <c r="O112" s="53">
        <f>K112-M112</f>
        <v>159241.03345788381</v>
      </c>
      <c r="P112" s="53">
        <f>K112-N112</f>
        <v>157924.10476234704</v>
      </c>
      <c r="Q112">
        <v>2.5899999999999999E-2</v>
      </c>
      <c r="R112">
        <f>MAX(0.19*Q98,0.1%)</f>
        <v>9.0629999999999999E-3</v>
      </c>
      <c r="S112" s="56">
        <f>O112-P112</f>
        <v>1316.9286955367716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90231.351730794544</v>
      </c>
      <c r="J124" s="50">
        <f>$J$2*(1+E124)</f>
        <v>61554</v>
      </c>
      <c r="K124" s="51">
        <f t="shared" si="6"/>
        <v>151785.35173079453</v>
      </c>
      <c r="L124" s="51">
        <f>K124-$I$3</f>
        <v>1785.3517307945294</v>
      </c>
      <c r="M124" s="1">
        <f>((J124-MIN(J124,$K$2))+(I124-MIN(I124,MAX($L$2-MIN(J124,$K$2),0))))*R124</f>
        <v>250.90002913569953</v>
      </c>
      <c r="N124" s="51">
        <f>IF(L124&gt;0,0.19*L124,0)</f>
        <v>339.21682885096061</v>
      </c>
      <c r="O124" s="53">
        <f>K124-M124</f>
        <v>151534.45170165884</v>
      </c>
      <c r="P124" s="53">
        <f>K124-N124</f>
        <v>151446.13490194356</v>
      </c>
      <c r="Q124">
        <v>2.3099999999999999E-2</v>
      </c>
      <c r="R124">
        <f>MAX(0.19*Q110,0.1%)</f>
        <v>4.8449999999999995E-3</v>
      </c>
      <c r="S124" s="56">
        <f>O124-P124</f>
        <v>88.316799715277739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81337.671016538006</v>
      </c>
      <c r="J136" s="50">
        <f>$J$2*(1+E136)</f>
        <v>61385.999999999993</v>
      </c>
      <c r="K136" s="51">
        <f t="shared" si="6"/>
        <v>142723.67101653799</v>
      </c>
      <c r="L136" s="51">
        <f>K136-$I$3</f>
        <v>-7276.3289834620082</v>
      </c>
      <c r="M136" s="1">
        <f>((J136-MIN(J136,$K$2))+(I136-MIN(I136,MAX($L$2-MIN(J136,$K$2),0))))*R136</f>
        <v>202.93743732855552</v>
      </c>
      <c r="N136" s="51">
        <f>IF(L136&gt;0,0.19*L136,0)</f>
        <v>0</v>
      </c>
      <c r="O136" s="53">
        <f>K136-M136</f>
        <v>142520.73357920942</v>
      </c>
      <c r="P136" s="53">
        <f>K136-N136</f>
        <v>142723.67101653799</v>
      </c>
      <c r="Q136">
        <v>1.7600000000000001E-2</v>
      </c>
      <c r="R136">
        <f>MAX(0.19*Q122,0.1%)</f>
        <v>4.7500000000000007E-3</v>
      </c>
      <c r="S136" s="56">
        <f>O136-P136</f>
        <v>-202.93743732856819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si="5"/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ref="E147:E210" si="9">C135</f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100239.40880678016</v>
      </c>
      <c r="J148" s="50">
        <f>$J$2*(1+E148)</f>
        <v>61056</v>
      </c>
      <c r="K148" s="51">
        <f t="shared" ref="K148:K208" si="10">I148+J148</f>
        <v>161295.40880678018</v>
      </c>
      <c r="L148" s="51">
        <f>K148-$I$3</f>
        <v>11295.408806780179</v>
      </c>
      <c r="M148" s="1">
        <f>((J148-MIN(J148,$K$2))+(I148-MIN(I148,MAX($L$2-MIN(J148,$K$2),0))))*R148</f>
        <v>203.80723428254407</v>
      </c>
      <c r="N148" s="51">
        <f>IF(L148&gt;0,0.19*L148,0)</f>
        <v>2146.1276732882338</v>
      </c>
      <c r="O148" s="53">
        <f>K148-M148</f>
        <v>161091.60157249763</v>
      </c>
      <c r="P148" s="53">
        <f>K148-N148</f>
        <v>159149.28113349195</v>
      </c>
      <c r="Q148">
        <v>1.49E-2</v>
      </c>
      <c r="R148">
        <f>MAX(0.19*Q134,0.1%)</f>
        <v>3.3250000000000003E-3</v>
      </c>
      <c r="S148" s="56">
        <f>O148-P148</f>
        <v>1942.3204390056781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110854.32380821356</v>
      </c>
      <c r="J160" s="50">
        <f>$J$2*(1+E160)</f>
        <v>60893.999999999993</v>
      </c>
      <c r="K160" s="51">
        <f t="shared" si="10"/>
        <v>171748.32380821355</v>
      </c>
      <c r="L160" s="51">
        <f>K160-$I$3</f>
        <v>21748.32380821355</v>
      </c>
      <c r="M160" s="1">
        <f>((J160-MIN(J160,$K$2))+(I160-MIN(I160,MAX($L$2-MIN(J160,$K$2),0))))*R160</f>
        <v>220.84134068168132</v>
      </c>
      <c r="N160" s="51">
        <f>IF(L160&gt;0,0.19*L160,0)</f>
        <v>4132.1815235605745</v>
      </c>
      <c r="O160" s="53">
        <f>K160-M160</f>
        <v>171527.48246753187</v>
      </c>
      <c r="P160" s="53">
        <f>K160-N160</f>
        <v>167616.14228465297</v>
      </c>
      <c r="Q160">
        <v>1.52E-2</v>
      </c>
      <c r="R160">
        <f>MAX(0.19*Q146,0.1%)</f>
        <v>3.078E-3</v>
      </c>
      <c r="S160" s="56">
        <f>O160-P160</f>
        <v>3911.3401828788919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81450.266839435135</v>
      </c>
      <c r="J172" s="50">
        <f>$J$2*(1+E172)</f>
        <v>60912.000000000007</v>
      </c>
      <c r="K172" s="51">
        <f t="shared" si="10"/>
        <v>142362.26683943515</v>
      </c>
      <c r="L172" s="51">
        <f>K172-$I$3</f>
        <v>-7637.7331605648506</v>
      </c>
      <c r="M172" s="1">
        <f>((J172-MIN(J172,$K$2))+(I172-MIN(I172,MAX($L$2-MIN(J172,$K$2),0))))*R172</f>
        <v>119.92757742244089</v>
      </c>
      <c r="N172" s="51">
        <f>IF(L172&gt;0,0.19*L172,0)</f>
        <v>0</v>
      </c>
      <c r="O172" s="53">
        <f>K172-M172</f>
        <v>142242.33926201271</v>
      </c>
      <c r="P172" s="53">
        <f>K172-N172</f>
        <v>142362.26683943515</v>
      </c>
      <c r="Q172">
        <v>1.83E-2</v>
      </c>
      <c r="R172">
        <f>MAX(0.19*Q158,0.1%)</f>
        <v>2.8310000000000002E-3</v>
      </c>
      <c r="S172" s="56">
        <f>O172-P172</f>
        <v>-119.92757742243703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90222.119759752473</v>
      </c>
      <c r="J184" s="50">
        <f>$J$2*(1+E184)</f>
        <v>61098</v>
      </c>
      <c r="K184" s="51">
        <f t="shared" si="10"/>
        <v>151320.11975975247</v>
      </c>
      <c r="L184" s="51">
        <f>K184-$I$3</f>
        <v>1320.1197597524733</v>
      </c>
      <c r="M184" s="1">
        <f>((J184-MIN(J184,$K$2))+(I184-MIN(I184,MAX($L$2-MIN(J184,$K$2),0))))*R184</f>
        <v>156.98824634508281</v>
      </c>
      <c r="N184" s="51">
        <f>IF(L184&gt;0,0.19*L184,0)</f>
        <v>250.82275435296992</v>
      </c>
      <c r="O184" s="53">
        <f>K184-M184</f>
        <v>151163.1315134074</v>
      </c>
      <c r="P184" s="53">
        <f>K184-N184</f>
        <v>151069.29700539951</v>
      </c>
      <c r="Q184">
        <v>1.21E-2</v>
      </c>
      <c r="R184">
        <f>MAX(0.19*Q170,0.1%)</f>
        <v>3.0590000000000001E-3</v>
      </c>
      <c r="S184" s="56">
        <f>O184-P184</f>
        <v>93.834508007887052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88744.077763376117</v>
      </c>
      <c r="J196" s="50">
        <f>$J$2*(1+E196)</f>
        <v>60726</v>
      </c>
      <c r="K196" s="51">
        <f t="shared" si="10"/>
        <v>149470.07776337612</v>
      </c>
      <c r="L196" s="51">
        <f>K196-$I$3</f>
        <v>-529.92223662388278</v>
      </c>
      <c r="M196" s="1">
        <f>((J196-MIN(J196,$K$2))+(I196-MIN(I196,MAX($L$2-MIN(J196,$K$2),0))))*R196</f>
        <v>125.9508179855556</v>
      </c>
      <c r="N196" s="51">
        <f>IF(L196&gt;0,0.19*L196,0)</f>
        <v>0</v>
      </c>
      <c r="O196" s="53">
        <f>K196-M196</f>
        <v>149344.12694539057</v>
      </c>
      <c r="P196" s="53">
        <f>K196-N196</f>
        <v>149470.07776337612</v>
      </c>
      <c r="Q196">
        <v>5.1000000000000004E-3</v>
      </c>
      <c r="R196">
        <f>MAX(0.19*Q182,0.1%)</f>
        <v>2.5460000000000001E-3</v>
      </c>
      <c r="S196" s="56">
        <f>O196-P196</f>
        <v>-125.95081798554747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109365.56831078684</v>
      </c>
      <c r="J208" s="50">
        <f>$J$2*(1+E208)</f>
        <v>60306.000000000007</v>
      </c>
      <c r="K208" s="51">
        <f t="shared" si="10"/>
        <v>169671.56831078685</v>
      </c>
      <c r="L208" s="51">
        <f>K208-$I$3</f>
        <v>19671.568310786854</v>
      </c>
      <c r="M208" s="1">
        <f>((J208-MIN(J208,$K$2))+(I208-MIN(I208,MAX($L$2-MIN(J208,$K$2),0))))*R208</f>
        <v>69.671568310786853</v>
      </c>
      <c r="N208" s="51">
        <f>IF(L208&gt;0,0.19*L208,0)</f>
        <v>3737.5979790495021</v>
      </c>
      <c r="O208" s="53">
        <f>K208-M208</f>
        <v>169601.89674247606</v>
      </c>
      <c r="P208" s="53">
        <f>K208-N208</f>
        <v>165933.97033173736</v>
      </c>
      <c r="Q208">
        <v>6.7999999999999996E-3</v>
      </c>
      <c r="R208">
        <f>MAX(0.19*Q194,0.1%)</f>
        <v>1E-3</v>
      </c>
      <c r="S208" s="56">
        <f>O208-P208</f>
        <v>3667.9264107386989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si="9"/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ref="E211:E264" si="13">C199</f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74630.884841404142</v>
      </c>
      <c r="J220" s="50">
        <f>$J$2*(1+E220)</f>
        <v>60407.999999999993</v>
      </c>
      <c r="K220" s="51">
        <f t="shared" ref="K220:K256" si="14">I220+J220</f>
        <v>135038.88484140413</v>
      </c>
      <c r="L220" s="51">
        <f>K220-$I$3</f>
        <v>-14961.115158595872</v>
      </c>
      <c r="M220" s="1">
        <f>((J220-MIN(J220,$K$2))+(I220-MIN(I220,MAX($L$2-MIN(J220,$K$2),0))))*R220</f>
        <v>35.407999999999994</v>
      </c>
      <c r="N220" s="51">
        <f>IF(L220&gt;0,0.19*L220,0)</f>
        <v>0</v>
      </c>
      <c r="O220" s="53">
        <f>K220-M220</f>
        <v>135003.47684140413</v>
      </c>
      <c r="P220" s="53">
        <f>K220-N220</f>
        <v>135038.88484140413</v>
      </c>
      <c r="Q220">
        <v>6.25E-2</v>
      </c>
      <c r="R220">
        <f>MAX(0.19*Q206,0.1%)</f>
        <v>1E-3</v>
      </c>
      <c r="S220" s="56">
        <f>O220-P220</f>
        <v>-35.407999999995809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122886.57438184226</v>
      </c>
      <c r="J232" s="50">
        <f>$J$2*(1+E232)</f>
        <v>63750</v>
      </c>
      <c r="K232" s="51">
        <f t="shared" si="14"/>
        <v>186636.57438184228</v>
      </c>
      <c r="L232" s="51">
        <f>K232-$I$3</f>
        <v>36636.574381842278</v>
      </c>
      <c r="M232" s="1">
        <f>((J232-MIN(J232,$K$2))+(I232-MIN(I232,MAX($L$2-MIN(J232,$K$2),0))))*R232</f>
        <v>934.98191072884185</v>
      </c>
      <c r="N232" s="51">
        <f>IF(L232&gt;0,0.19*L232,0)</f>
        <v>6960.949132550033</v>
      </c>
      <c r="O232" s="53">
        <f>K232-M232</f>
        <v>185701.59247111343</v>
      </c>
      <c r="P232" s="53">
        <f>K232-N232</f>
        <v>179675.62524929224</v>
      </c>
      <c r="Q232">
        <v>4.41E-2</v>
      </c>
      <c r="R232">
        <f>MAX(0.19*Q218,0.1%)</f>
        <v>1.0792000000000001E-2</v>
      </c>
      <c r="S232" s="56">
        <f>O232-P232</f>
        <v>6025.9672218211927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91281.761602836414</v>
      </c>
      <c r="J244" s="50">
        <f>$J$2*(1+E244)</f>
        <v>62646</v>
      </c>
      <c r="K244" s="51">
        <f t="shared" si="14"/>
        <v>153927.76160283643</v>
      </c>
      <c r="L244" s="51">
        <f>K244-$I$3</f>
        <v>3927.7616028364282</v>
      </c>
      <c r="M244" s="1">
        <f>((J244-MIN(J244,$K$2))+(I244-MIN(I244,MAX($L$2-MIN(J244,$K$2),0))))*R244</f>
        <v>472.3532638792442</v>
      </c>
      <c r="N244" s="51">
        <f>IF(L244&gt;0,0.19*L244,0)</f>
        <v>746.27470453892136</v>
      </c>
      <c r="O244" s="53">
        <f>K244-M244</f>
        <v>153455.40833895718</v>
      </c>
      <c r="P244" s="53">
        <f>K244-N244</f>
        <v>153181.4868982975</v>
      </c>
      <c r="Q244">
        <v>3.95E-2</v>
      </c>
      <c r="R244">
        <f>MAX(0.19*Q230,0.1%)</f>
        <v>8.7590000000000012E-3</v>
      </c>
      <c r="S244" s="56">
        <f>O244-P244</f>
        <v>273.92144065967295</v>
      </c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132595.84012128078</v>
      </c>
      <c r="J256" s="50">
        <f>$J$2*(1+E256)</f>
        <v>62370.000000000007</v>
      </c>
      <c r="K256" s="51">
        <f t="shared" si="14"/>
        <v>194965.84012128078</v>
      </c>
      <c r="L256" s="51">
        <f>K256-$I$3</f>
        <v>44965.84012128078</v>
      </c>
      <c r="M256" s="1">
        <f>((J256-MIN(J256,$K$2))+(I256-MIN(I256,MAX($L$2-MIN(J256,$K$2),0))))*R256</f>
        <v>721.74038492173395</v>
      </c>
      <c r="N256" s="51">
        <f>IF(L256&gt;0,0.19*L256,0)</f>
        <v>8543.5096230433483</v>
      </c>
      <c r="O256" s="53">
        <f>K256-M256</f>
        <v>194244.09973635906</v>
      </c>
      <c r="P256" s="53">
        <f>K256-N256</f>
        <v>186422.33049823742</v>
      </c>
      <c r="Q256">
        <v>3.3399999999999999E-2</v>
      </c>
      <c r="R256">
        <f>MAX(0.19*Q242,0.1%)</f>
        <v>7.6E-3</v>
      </c>
      <c r="S256" s="56">
        <f>O256-P256</f>
        <v>7821.769238121633</v>
      </c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3313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790575</xdr:colOff>
                <xdr:row>1</xdr:row>
                <xdr:rowOff>104775</xdr:rowOff>
              </to>
            </anchor>
          </objectPr>
        </oleObject>
      </mc:Choice>
      <mc:Fallback>
        <oleObject progId="Mbnd.EmbeddedDataStore" shapeId="1331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B1B6-6ED6-4704-9550-29A70B4E3FDF}">
  <dimension ref="A1:S9014"/>
  <sheetViews>
    <sheetView zoomScale="85" zoomScaleNormal="85" workbookViewId="0">
      <pane xSplit="1" topLeftCell="D1" activePane="topRight" state="frozen"/>
      <selection pane="topRight" activeCell="K12" sqref="K12"/>
    </sheetView>
  </sheetViews>
  <sheetFormatPr defaultRowHeight="14.25"/>
  <cols>
    <col min="1" max="1" width="10.75" bestFit="1" customWidth="1"/>
    <col min="2" max="2" width="9.875" bestFit="1" customWidth="1"/>
    <col min="4" max="4" width="11.875" bestFit="1" customWidth="1"/>
    <col min="6" max="6" width="11.875" bestFit="1" customWidth="1"/>
    <col min="8" max="8" width="11.875" bestFit="1" customWidth="1"/>
    <col min="9" max="9" width="13.125" bestFit="1" customWidth="1"/>
    <col min="10" max="10" width="13.75" bestFit="1" customWidth="1"/>
    <col min="11" max="11" width="20" bestFit="1" customWidth="1"/>
    <col min="12" max="12" width="24" bestFit="1" customWidth="1"/>
    <col min="13" max="13" width="11.625" bestFit="1" customWidth="1"/>
    <col min="14" max="14" width="12" bestFit="1" customWidth="1"/>
    <col min="15" max="16" width="13.5" style="52" bestFit="1" customWidth="1"/>
    <col min="17" max="17" width="26.625" bestFit="1" customWidth="1"/>
    <col min="18" max="18" width="47.125" bestFit="1" customWidth="1"/>
  </cols>
  <sheetData>
    <row r="1" spans="1:19">
      <c r="K1" t="s">
        <v>121</v>
      </c>
      <c r="L1" t="s">
        <v>122</v>
      </c>
    </row>
    <row r="2" spans="1:19">
      <c r="I2" s="46">
        <f>I3*0.6</f>
        <v>120000</v>
      </c>
      <c r="J2" s="46">
        <f>I3*0.4</f>
        <v>80000</v>
      </c>
      <c r="K2">
        <v>25000</v>
      </c>
      <c r="L2">
        <v>100000</v>
      </c>
    </row>
    <row r="3" spans="1:19">
      <c r="I3" s="62">
        <v>200000</v>
      </c>
      <c r="J3" s="62"/>
      <c r="Q3" s="63" t="s">
        <v>118</v>
      </c>
      <c r="R3" s="63"/>
      <c r="S3" s="63"/>
    </row>
    <row r="4" spans="1:19">
      <c r="B4" t="s">
        <v>106</v>
      </c>
      <c r="C4" t="s">
        <v>110</v>
      </c>
      <c r="D4" t="s">
        <v>107</v>
      </c>
      <c r="E4" t="s">
        <v>108</v>
      </c>
      <c r="F4" t="s">
        <v>109</v>
      </c>
      <c r="H4" s="46"/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 t="s">
        <v>1</v>
      </c>
      <c r="O4" s="52" t="s">
        <v>119</v>
      </c>
      <c r="P4" s="52" t="s">
        <v>120</v>
      </c>
      <c r="Q4" t="s">
        <v>116</v>
      </c>
      <c r="R4" t="s">
        <v>117</v>
      </c>
    </row>
    <row r="5" spans="1:19">
      <c r="A5" s="45">
        <v>38353</v>
      </c>
      <c r="B5">
        <v>25992.99</v>
      </c>
      <c r="C5">
        <v>5.2999999999999999E-2</v>
      </c>
      <c r="Q5">
        <v>5.2999999999999999E-2</v>
      </c>
    </row>
    <row r="6" spans="1:19">
      <c r="A6" s="45">
        <v>38384</v>
      </c>
      <c r="B6">
        <v>28294.49</v>
      </c>
      <c r="C6">
        <v>5.1799999999999999E-2</v>
      </c>
      <c r="Q6">
        <v>5.1799999999999999E-2</v>
      </c>
    </row>
    <row r="7" spans="1:19">
      <c r="A7" s="45">
        <v>38412</v>
      </c>
      <c r="B7">
        <v>27268.07</v>
      </c>
      <c r="C7">
        <v>5.11E-2</v>
      </c>
      <c r="Q7">
        <v>5.11E-2</v>
      </c>
    </row>
    <row r="8" spans="1:19">
      <c r="A8" s="45">
        <v>38443</v>
      </c>
      <c r="B8">
        <v>25813.59</v>
      </c>
      <c r="C8">
        <v>4.7699999999999999E-2</v>
      </c>
      <c r="Q8">
        <v>4.7699999999999999E-2</v>
      </c>
    </row>
    <row r="9" spans="1:19">
      <c r="A9" s="45">
        <v>38473</v>
      </c>
      <c r="B9">
        <v>26744.36</v>
      </c>
      <c r="C9">
        <v>4.4699999999999997E-2</v>
      </c>
      <c r="Q9">
        <v>4.4699999999999997E-2</v>
      </c>
    </row>
    <row r="10" spans="1:19">
      <c r="A10" s="45">
        <v>38504</v>
      </c>
      <c r="B10">
        <v>28332.05</v>
      </c>
      <c r="C10">
        <v>4.3299999999999998E-2</v>
      </c>
      <c r="Q10">
        <v>4.3299999999999998E-2</v>
      </c>
    </row>
    <row r="11" spans="1:19">
      <c r="A11" s="45">
        <v>38534</v>
      </c>
      <c r="B11">
        <v>30448.31</v>
      </c>
      <c r="C11">
        <v>3.9899999999999998E-2</v>
      </c>
      <c r="Q11">
        <v>3.9899999999999998E-2</v>
      </c>
    </row>
    <row r="12" spans="1:19">
      <c r="A12" s="45">
        <v>38565</v>
      </c>
      <c r="B12">
        <v>31364.29</v>
      </c>
      <c r="C12">
        <v>3.8800000000000001E-2</v>
      </c>
      <c r="Q12">
        <v>3.8800000000000001E-2</v>
      </c>
    </row>
    <row r="13" spans="1:19">
      <c r="A13" s="45">
        <v>38596</v>
      </c>
      <c r="B13">
        <v>33801.17</v>
      </c>
      <c r="C13">
        <v>3.73E-2</v>
      </c>
      <c r="Q13">
        <v>3.73E-2</v>
      </c>
    </row>
    <row r="14" spans="1:19">
      <c r="A14" s="45">
        <v>38626</v>
      </c>
      <c r="B14">
        <v>32024.41</v>
      </c>
      <c r="C14">
        <v>3.6200000000000003E-2</v>
      </c>
      <c r="Q14">
        <v>3.6200000000000003E-2</v>
      </c>
    </row>
    <row r="15" spans="1:19">
      <c r="A15" s="45">
        <v>38657</v>
      </c>
      <c r="B15">
        <v>33926.06</v>
      </c>
      <c r="C15">
        <v>3.6600000000000001E-2</v>
      </c>
      <c r="Q15">
        <v>3.6600000000000001E-2</v>
      </c>
    </row>
    <row r="16" spans="1:19">
      <c r="A16" s="45">
        <v>38687</v>
      </c>
      <c r="B16">
        <v>35600.79</v>
      </c>
      <c r="C16">
        <v>3.5999999999999997E-2</v>
      </c>
      <c r="Q16">
        <v>3.5999999999999997E-2</v>
      </c>
    </row>
    <row r="17" spans="1:19">
      <c r="A17" s="45">
        <v>38718</v>
      </c>
      <c r="B17">
        <v>37854.949999999997</v>
      </c>
      <c r="C17">
        <v>3.6400000000000002E-2</v>
      </c>
      <c r="D17">
        <f>B17/B5-1</f>
        <v>0.45635227036212433</v>
      </c>
      <c r="E17">
        <f>C5</f>
        <v>5.2999999999999999E-2</v>
      </c>
      <c r="I17" s="47"/>
      <c r="J17" s="47"/>
      <c r="K17" s="1"/>
      <c r="Q17">
        <v>3.6400000000000002E-2</v>
      </c>
    </row>
    <row r="18" spans="1:19">
      <c r="A18" s="45">
        <v>38749</v>
      </c>
      <c r="B18">
        <v>38854.370000000003</v>
      </c>
      <c r="C18">
        <v>3.5099999999999999E-2</v>
      </c>
      <c r="D18">
        <f t="shared" ref="D18:D81" si="0">B18/B6-1</f>
        <v>0.37321330054014057</v>
      </c>
      <c r="E18">
        <f>C6</f>
        <v>5.1799999999999999E-2</v>
      </c>
      <c r="I18" s="47"/>
      <c r="J18" s="47"/>
      <c r="K18" s="1"/>
      <c r="Q18">
        <v>3.5099999999999999E-2</v>
      </c>
    </row>
    <row r="19" spans="1:19">
      <c r="A19" s="45">
        <v>38777</v>
      </c>
      <c r="B19">
        <v>40220.32</v>
      </c>
      <c r="C19">
        <v>3.2800000000000003E-2</v>
      </c>
      <c r="D19">
        <f>B19/B7-1</f>
        <v>0.4749969469786457</v>
      </c>
      <c r="E19">
        <f t="shared" ref="E19:E82" si="1">C7</f>
        <v>5.11E-2</v>
      </c>
      <c r="I19" s="47"/>
      <c r="J19" s="47"/>
      <c r="K19" s="1"/>
      <c r="Q19">
        <v>3.2800000000000003E-2</v>
      </c>
    </row>
    <row r="20" spans="1:19">
      <c r="A20" s="45">
        <v>38808</v>
      </c>
      <c r="B20">
        <v>43998.59</v>
      </c>
      <c r="C20">
        <v>3.3500000000000002E-2</v>
      </c>
      <c r="D20">
        <f t="shared" si="0"/>
        <v>0.70447388371783992</v>
      </c>
      <c r="E20">
        <f t="shared" si="1"/>
        <v>4.7699999999999999E-2</v>
      </c>
      <c r="I20" s="47"/>
      <c r="J20" s="47"/>
      <c r="K20" s="1"/>
      <c r="Q20">
        <v>3.3500000000000002E-2</v>
      </c>
    </row>
    <row r="21" spans="1:19">
      <c r="A21" s="45">
        <v>38838</v>
      </c>
      <c r="B21">
        <v>39632.25</v>
      </c>
      <c r="C21">
        <v>3.27E-2</v>
      </c>
      <c r="D21">
        <f t="shared" si="0"/>
        <v>0.48189188299888275</v>
      </c>
      <c r="E21">
        <f t="shared" si="1"/>
        <v>4.4699999999999997E-2</v>
      </c>
      <c r="I21" s="47"/>
      <c r="J21" s="47"/>
      <c r="K21" s="1"/>
      <c r="Q21">
        <v>3.27E-2</v>
      </c>
    </row>
    <row r="22" spans="1:19">
      <c r="A22" s="45">
        <v>38869</v>
      </c>
      <c r="B22">
        <v>40644.58</v>
      </c>
      <c r="C22">
        <v>3.3399999999999999E-2</v>
      </c>
      <c r="D22">
        <f t="shared" si="0"/>
        <v>0.43457956625094196</v>
      </c>
      <c r="E22">
        <f t="shared" si="1"/>
        <v>4.3299999999999998E-2</v>
      </c>
      <c r="I22" s="47"/>
      <c r="J22" s="47"/>
      <c r="K22" s="1"/>
      <c r="Q22">
        <v>3.3399999999999999E-2</v>
      </c>
    </row>
    <row r="23" spans="1:19">
      <c r="A23" s="45">
        <v>38899</v>
      </c>
      <c r="B23">
        <v>45894.89</v>
      </c>
      <c r="C23">
        <v>3.3500000000000002E-2</v>
      </c>
      <c r="D23">
        <f t="shared" si="0"/>
        <v>0.50730500313482096</v>
      </c>
      <c r="E23">
        <f t="shared" si="1"/>
        <v>3.9899999999999998E-2</v>
      </c>
      <c r="I23" s="47"/>
      <c r="J23" s="47"/>
      <c r="K23" s="1"/>
      <c r="Q23">
        <v>3.3500000000000002E-2</v>
      </c>
    </row>
    <row r="24" spans="1:19">
      <c r="A24" s="45">
        <v>38930</v>
      </c>
      <c r="B24">
        <v>43363.32</v>
      </c>
      <c r="C24">
        <v>3.32E-2</v>
      </c>
      <c r="D24">
        <f t="shared" si="0"/>
        <v>0.38256979513963163</v>
      </c>
      <c r="E24">
        <f t="shared" si="1"/>
        <v>3.8800000000000001E-2</v>
      </c>
      <c r="I24" s="47"/>
      <c r="J24" s="47"/>
      <c r="K24" s="1"/>
      <c r="Q24">
        <v>3.32E-2</v>
      </c>
    </row>
    <row r="25" spans="1:19">
      <c r="A25" s="45">
        <v>38961</v>
      </c>
      <c r="B25">
        <v>44052.54</v>
      </c>
      <c r="C25">
        <v>3.3099999999999997E-2</v>
      </c>
      <c r="D25">
        <f t="shared" si="0"/>
        <v>0.30328447210555143</v>
      </c>
      <c r="E25">
        <f t="shared" si="1"/>
        <v>3.73E-2</v>
      </c>
      <c r="I25" s="47"/>
      <c r="J25" s="47"/>
      <c r="K25" s="1"/>
      <c r="Q25">
        <v>3.3099999999999997E-2</v>
      </c>
    </row>
    <row r="26" spans="1:19">
      <c r="A26" s="45">
        <v>38991</v>
      </c>
      <c r="B26">
        <v>47358.12</v>
      </c>
      <c r="C26">
        <v>3.3799999999999997E-2</v>
      </c>
      <c r="D26">
        <f t="shared" si="0"/>
        <v>0.47881319281135859</v>
      </c>
      <c r="E26">
        <f t="shared" si="1"/>
        <v>3.6200000000000003E-2</v>
      </c>
      <c r="I26" s="47"/>
      <c r="J26" s="47"/>
      <c r="K26" s="1"/>
      <c r="Q26">
        <v>3.3799999999999997E-2</v>
      </c>
    </row>
    <row r="27" spans="1:19">
      <c r="A27" s="45">
        <v>39022</v>
      </c>
      <c r="B27">
        <v>50230.32</v>
      </c>
      <c r="C27">
        <v>3.3500000000000002E-2</v>
      </c>
      <c r="D27">
        <f t="shared" si="0"/>
        <v>0.48058218372543116</v>
      </c>
      <c r="E27">
        <f t="shared" si="1"/>
        <v>3.6600000000000001E-2</v>
      </c>
      <c r="I27" s="47"/>
      <c r="J27" s="47"/>
      <c r="K27" s="1"/>
      <c r="Q27">
        <v>3.3500000000000002E-2</v>
      </c>
    </row>
    <row r="28" spans="1:19" s="49" customFormat="1">
      <c r="A28" s="48">
        <v>39052</v>
      </c>
      <c r="B28" s="49">
        <v>50411.82</v>
      </c>
      <c r="C28" s="49">
        <v>3.3099999999999997E-2</v>
      </c>
      <c r="D28" s="49">
        <f t="shared" si="0"/>
        <v>0.41603093639214173</v>
      </c>
      <c r="E28" s="49">
        <f t="shared" si="1"/>
        <v>3.5999999999999997E-2</v>
      </c>
      <c r="F28" s="49">
        <f>0.6*D28+0.4*AVERAGE(E17:E28)</f>
        <v>0.26683189516861838</v>
      </c>
      <c r="H28" s="50"/>
      <c r="I28" s="50">
        <f>$I$2*(1+D28)</f>
        <v>169923.71236705701</v>
      </c>
      <c r="J28" s="50">
        <f>$J$2*(1+E28)</f>
        <v>82880</v>
      </c>
      <c r="K28" s="51">
        <f t="shared" ref="K28:K76" si="2">I28+J28</f>
        <v>252803.71236705701</v>
      </c>
      <c r="L28" s="51">
        <f>K28-$I$3</f>
        <v>52803.712367057014</v>
      </c>
      <c r="M28" s="1">
        <f>((J28-MIN(J28,$K$2))+(I28-MIN(I28,MAX($L$2-MIN(J28,$K$2),0))))*R28</f>
        <v>1050.9839336606183</v>
      </c>
      <c r="N28" s="51">
        <f>IF(L28&gt;0,0.19*L28,0)</f>
        <v>10032.705349740832</v>
      </c>
      <c r="O28" s="53">
        <f>K28-M28</f>
        <v>251752.72843339641</v>
      </c>
      <c r="P28" s="53">
        <f>K28-N28</f>
        <v>242771.00701731618</v>
      </c>
      <c r="Q28">
        <v>3.3099999999999997E-2</v>
      </c>
      <c r="R28">
        <f>MAX(0.19*Q14,0.1%)</f>
        <v>6.8780000000000004E-3</v>
      </c>
      <c r="S28" s="56">
        <f>O28-P28</f>
        <v>8981.721416080225</v>
      </c>
    </row>
    <row r="29" spans="1:19">
      <c r="A29" s="45">
        <v>39083</v>
      </c>
      <c r="B29">
        <v>54558.15</v>
      </c>
      <c r="C29">
        <v>3.3700000000000001E-2</v>
      </c>
      <c r="D29">
        <f t="shared" si="0"/>
        <v>0.44124216251771586</v>
      </c>
      <c r="E29">
        <f t="shared" si="1"/>
        <v>3.6400000000000002E-2</v>
      </c>
      <c r="F29" s="49">
        <f t="shared" ref="F29:F92" si="3">0.6*D29+0.4*AVERAGE(E18:E29)</f>
        <v>0.28140529751062954</v>
      </c>
      <c r="H29" s="47"/>
      <c r="I29" s="47"/>
      <c r="J29" s="47"/>
      <c r="K29" s="1"/>
      <c r="Q29">
        <v>3.3700000000000001E-2</v>
      </c>
      <c r="S29" s="57"/>
    </row>
    <row r="30" spans="1:19">
      <c r="A30" s="45">
        <v>39114</v>
      </c>
      <c r="B30">
        <v>51900.39</v>
      </c>
      <c r="C30">
        <v>3.39E-2</v>
      </c>
      <c r="D30">
        <f t="shared" si="0"/>
        <v>0.33576712220530136</v>
      </c>
      <c r="E30">
        <f t="shared" si="1"/>
        <v>3.5099999999999999E-2</v>
      </c>
      <c r="F30" s="49">
        <f t="shared" si="3"/>
        <v>0.21756360665651414</v>
      </c>
      <c r="H30" s="47"/>
      <c r="I30" s="47"/>
      <c r="J30" s="47"/>
      <c r="K30" s="1"/>
      <c r="Q30">
        <v>3.39E-2</v>
      </c>
      <c r="S30" s="57"/>
    </row>
    <row r="31" spans="1:19">
      <c r="A31" s="45">
        <v>39142</v>
      </c>
      <c r="B31">
        <v>57524.57</v>
      </c>
      <c r="C31">
        <v>3.4000000000000002E-2</v>
      </c>
      <c r="D31">
        <f t="shared" si="0"/>
        <v>0.43023650731769414</v>
      </c>
      <c r="E31">
        <f t="shared" si="1"/>
        <v>3.2800000000000003E-2</v>
      </c>
      <c r="F31" s="49">
        <f t="shared" si="3"/>
        <v>0.27363523772394982</v>
      </c>
      <c r="H31" s="47"/>
      <c r="I31" s="47"/>
      <c r="J31" s="47"/>
      <c r="K31" s="1"/>
      <c r="Q31">
        <v>3.4000000000000002E-2</v>
      </c>
      <c r="S31" s="57"/>
    </row>
    <row r="32" spans="1:19">
      <c r="A32" s="45">
        <v>39173</v>
      </c>
      <c r="B32">
        <v>59805.48</v>
      </c>
      <c r="C32">
        <v>3.3799999999999997E-2</v>
      </c>
      <c r="D32">
        <f t="shared" si="0"/>
        <v>0.35925901261835902</v>
      </c>
      <c r="E32">
        <f t="shared" si="1"/>
        <v>3.3500000000000002E-2</v>
      </c>
      <c r="F32" s="49">
        <f t="shared" si="3"/>
        <v>0.23057540757101541</v>
      </c>
      <c r="H32" s="47"/>
      <c r="I32" s="47"/>
      <c r="J32" s="47"/>
      <c r="K32" s="1"/>
      <c r="Q32">
        <v>3.3799999999999997E-2</v>
      </c>
      <c r="S32" s="57"/>
    </row>
    <row r="33" spans="1:19">
      <c r="A33" s="45">
        <v>39203</v>
      </c>
      <c r="B33">
        <v>63566.15</v>
      </c>
      <c r="C33">
        <v>3.5099999999999999E-2</v>
      </c>
      <c r="D33">
        <f t="shared" si="0"/>
        <v>0.60389960196557091</v>
      </c>
      <c r="E33">
        <f t="shared" si="1"/>
        <v>3.27E-2</v>
      </c>
      <c r="F33" s="49">
        <f t="shared" si="3"/>
        <v>0.37695976117934255</v>
      </c>
      <c r="H33" s="47"/>
      <c r="I33" s="47"/>
      <c r="J33" s="47"/>
      <c r="K33" s="1"/>
      <c r="Q33">
        <v>3.5099999999999999E-2</v>
      </c>
      <c r="S33" s="57"/>
    </row>
    <row r="34" spans="1:19">
      <c r="A34" s="45">
        <v>39234</v>
      </c>
      <c r="B34">
        <v>66077.69</v>
      </c>
      <c r="C34">
        <v>3.5799999999999998E-2</v>
      </c>
      <c r="D34">
        <f t="shared" si="0"/>
        <v>0.62574419516698176</v>
      </c>
      <c r="E34">
        <f t="shared" si="1"/>
        <v>3.3399999999999999E-2</v>
      </c>
      <c r="F34" s="49">
        <f t="shared" si="3"/>
        <v>0.38973651710018908</v>
      </c>
      <c r="H34" s="47"/>
      <c r="I34" s="47"/>
      <c r="J34" s="47"/>
      <c r="K34" s="1"/>
      <c r="Q34">
        <v>3.5799999999999998E-2</v>
      </c>
      <c r="S34" s="57"/>
    </row>
    <row r="35" spans="1:19">
      <c r="A35" s="45">
        <v>39264</v>
      </c>
      <c r="B35">
        <v>63670.52</v>
      </c>
      <c r="C35">
        <v>3.78E-2</v>
      </c>
      <c r="D35">
        <f t="shared" si="0"/>
        <v>0.38731174647112132</v>
      </c>
      <c r="E35">
        <f t="shared" si="1"/>
        <v>3.3500000000000002E-2</v>
      </c>
      <c r="F35" s="49">
        <f t="shared" si="3"/>
        <v>0.24646371454933946</v>
      </c>
      <c r="H35" s="47"/>
      <c r="I35" s="47"/>
      <c r="J35" s="47"/>
      <c r="K35" s="1"/>
      <c r="Q35">
        <v>3.78E-2</v>
      </c>
      <c r="S35" s="57"/>
    </row>
    <row r="36" spans="1:19">
      <c r="A36" s="45">
        <v>39295</v>
      </c>
      <c r="B36">
        <v>60649.86</v>
      </c>
      <c r="C36">
        <v>3.8199999999999998E-2</v>
      </c>
      <c r="D36">
        <f t="shared" si="0"/>
        <v>0.39864429199609264</v>
      </c>
      <c r="E36">
        <f t="shared" si="1"/>
        <v>3.32E-2</v>
      </c>
      <c r="F36" s="49">
        <f t="shared" si="3"/>
        <v>0.25307657519765558</v>
      </c>
      <c r="H36" s="47"/>
      <c r="I36" s="47"/>
      <c r="J36" s="47"/>
      <c r="K36" s="1"/>
      <c r="Q36">
        <v>3.8199999999999998E-2</v>
      </c>
      <c r="S36" s="57"/>
    </row>
    <row r="37" spans="1:19">
      <c r="A37" s="45">
        <v>39326</v>
      </c>
      <c r="B37">
        <v>60368.92</v>
      </c>
      <c r="C37">
        <v>3.95E-2</v>
      </c>
      <c r="D37">
        <f t="shared" si="0"/>
        <v>0.3703845453633321</v>
      </c>
      <c r="E37">
        <f t="shared" si="1"/>
        <v>3.3099999999999997E-2</v>
      </c>
      <c r="F37" s="49">
        <f t="shared" si="3"/>
        <v>0.23598072721799923</v>
      </c>
      <c r="H37" s="47"/>
      <c r="I37" s="47"/>
      <c r="J37" s="47"/>
      <c r="K37" s="1"/>
      <c r="Q37">
        <v>3.95E-2</v>
      </c>
      <c r="S37" s="57"/>
    </row>
    <row r="38" spans="1:19">
      <c r="A38" s="45">
        <v>39356</v>
      </c>
      <c r="B38">
        <v>63126.46</v>
      </c>
      <c r="C38">
        <v>4.0300000000000002E-2</v>
      </c>
      <c r="D38">
        <f t="shared" si="0"/>
        <v>0.33295958538894688</v>
      </c>
      <c r="E38">
        <f t="shared" si="1"/>
        <v>3.3799999999999997E-2</v>
      </c>
      <c r="F38" s="49">
        <f t="shared" si="3"/>
        <v>0.21344575123336812</v>
      </c>
      <c r="H38" s="47"/>
      <c r="I38" s="47"/>
      <c r="J38" s="47"/>
      <c r="K38" s="1"/>
      <c r="Q38">
        <v>4.0300000000000002E-2</v>
      </c>
      <c r="S38" s="57"/>
    </row>
    <row r="39" spans="1:19">
      <c r="A39" s="45">
        <v>39387</v>
      </c>
      <c r="B39">
        <v>56680.28</v>
      </c>
      <c r="C39">
        <v>4.0599999999999997E-2</v>
      </c>
      <c r="D39">
        <f t="shared" si="0"/>
        <v>0.1284077027580155</v>
      </c>
      <c r="E39">
        <f t="shared" si="1"/>
        <v>3.3500000000000002E-2</v>
      </c>
      <c r="F39" s="49">
        <f t="shared" si="3"/>
        <v>9.0611288321475969E-2</v>
      </c>
      <c r="H39" s="47"/>
      <c r="I39" s="47"/>
      <c r="J39" s="47"/>
      <c r="K39" s="1"/>
      <c r="Q39">
        <v>4.0599999999999997E-2</v>
      </c>
      <c r="S39" s="57"/>
    </row>
    <row r="40" spans="1:19" s="49" customFormat="1">
      <c r="A40" s="48">
        <v>39417</v>
      </c>
      <c r="B40" s="49">
        <v>55648.54</v>
      </c>
      <c r="C40" s="49">
        <v>4.1599999999999998E-2</v>
      </c>
      <c r="D40" s="49">
        <f t="shared" si="0"/>
        <v>0.10387881254832698</v>
      </c>
      <c r="E40" s="49">
        <f t="shared" si="1"/>
        <v>3.3099999999999997E-2</v>
      </c>
      <c r="F40" s="49">
        <f t="shared" si="3"/>
        <v>7.5797287528996199E-2</v>
      </c>
      <c r="H40" s="50"/>
      <c r="I40" s="50">
        <f>$I$2*(1+D40)</f>
        <v>132465.45750579925</v>
      </c>
      <c r="J40" s="50">
        <f>$J$2*(1+E40)</f>
        <v>82647.999999999985</v>
      </c>
      <c r="K40" s="51">
        <f t="shared" si="2"/>
        <v>215113.45750579925</v>
      </c>
      <c r="L40" s="51">
        <f>K40-$I$3</f>
        <v>15113.457505799248</v>
      </c>
      <c r="M40" s="1">
        <f>((J40-MIN(J40,$K$2))+(I40-MIN(I40,MAX($L$2-MIN(J40,$K$2),0))))*R40</f>
        <v>739.25862410224261</v>
      </c>
      <c r="N40" s="51">
        <f>IF(L40&gt;0,0.19*L40,0)</f>
        <v>2871.5569261018572</v>
      </c>
      <c r="O40" s="53">
        <f>K40-M40</f>
        <v>214374.198881697</v>
      </c>
      <c r="P40" s="53">
        <f>K40-N40</f>
        <v>212241.90057969739</v>
      </c>
      <c r="Q40">
        <v>4.1599999999999998E-2</v>
      </c>
      <c r="R40">
        <f>MAX(0.19*Q26,0.1%)</f>
        <v>6.4219999999999998E-3</v>
      </c>
      <c r="S40" s="56">
        <f>O40-P40</f>
        <v>2132.2983019996027</v>
      </c>
    </row>
    <row r="41" spans="1:19">
      <c r="A41" s="45">
        <v>39448</v>
      </c>
      <c r="B41">
        <v>47747.81</v>
      </c>
      <c r="C41">
        <v>4.3099999999999999E-2</v>
      </c>
      <c r="D41">
        <f t="shared" si="0"/>
        <v>-0.12482717980723324</v>
      </c>
      <c r="E41">
        <f t="shared" si="1"/>
        <v>3.3700000000000001E-2</v>
      </c>
      <c r="F41" s="49">
        <f t="shared" si="3"/>
        <v>-6.1516307884339941E-2</v>
      </c>
      <c r="H41" s="47"/>
      <c r="I41" s="47"/>
      <c r="J41" s="47"/>
      <c r="K41" s="1"/>
      <c r="Q41">
        <v>4.3099999999999999E-2</v>
      </c>
      <c r="S41" s="57"/>
    </row>
    <row r="42" spans="1:19">
      <c r="A42" s="45">
        <v>39479</v>
      </c>
      <c r="B42">
        <v>47522</v>
      </c>
      <c r="C42">
        <v>4.6899999999999997E-2</v>
      </c>
      <c r="D42">
        <f t="shared" si="0"/>
        <v>-8.436140845955109E-2</v>
      </c>
      <c r="E42">
        <f t="shared" si="1"/>
        <v>3.39E-2</v>
      </c>
      <c r="F42" s="49">
        <f t="shared" si="3"/>
        <v>-3.7276845075730654E-2</v>
      </c>
      <c r="H42" s="47"/>
      <c r="I42" s="47"/>
      <c r="J42" s="47"/>
      <c r="K42" s="1"/>
      <c r="Q42">
        <v>4.6899999999999997E-2</v>
      </c>
      <c r="S42" s="57"/>
    </row>
    <row r="43" spans="1:19">
      <c r="A43" s="45">
        <v>39508</v>
      </c>
      <c r="B43">
        <v>48011.28</v>
      </c>
      <c r="C43">
        <v>4.8899999999999999E-2</v>
      </c>
      <c r="D43">
        <f t="shared" si="0"/>
        <v>-0.16537785506262803</v>
      </c>
      <c r="E43">
        <f t="shared" si="1"/>
        <v>3.4000000000000002E-2</v>
      </c>
      <c r="F43" s="49">
        <f t="shared" si="3"/>
        <v>-8.5846713037576808E-2</v>
      </c>
      <c r="H43" s="47"/>
      <c r="I43" s="47"/>
      <c r="J43" s="47"/>
      <c r="K43" s="1"/>
      <c r="Q43">
        <v>4.8899999999999999E-2</v>
      </c>
      <c r="S43" s="57"/>
    </row>
    <row r="44" spans="1:19">
      <c r="A44" s="45">
        <v>39539</v>
      </c>
      <c r="B44">
        <v>46691.839999999997</v>
      </c>
      <c r="C44">
        <v>5.0999999999999997E-2</v>
      </c>
      <c r="D44">
        <f t="shared" si="0"/>
        <v>-0.21927154501560742</v>
      </c>
      <c r="E44">
        <f t="shared" si="1"/>
        <v>3.3799999999999997E-2</v>
      </c>
      <c r="F44" s="49">
        <f t="shared" si="3"/>
        <v>-0.11817292700936445</v>
      </c>
      <c r="H44" s="47"/>
      <c r="I44" s="47"/>
      <c r="J44" s="47"/>
      <c r="K44" s="1"/>
      <c r="Q44">
        <v>5.0999999999999997E-2</v>
      </c>
      <c r="S44" s="57"/>
    </row>
    <row r="45" spans="1:19">
      <c r="A45" s="45">
        <v>39569</v>
      </c>
      <c r="B45">
        <v>46624.44</v>
      </c>
      <c r="C45">
        <v>5.0999999999999997E-2</v>
      </c>
      <c r="D45">
        <f t="shared" si="0"/>
        <v>-0.26652093921057041</v>
      </c>
      <c r="E45">
        <f t="shared" si="1"/>
        <v>3.5099999999999999E-2</v>
      </c>
      <c r="F45" s="49">
        <f t="shared" si="3"/>
        <v>-0.14644256352634222</v>
      </c>
      <c r="H45" s="47"/>
      <c r="I45" s="47"/>
      <c r="J45" s="47"/>
      <c r="K45" s="1"/>
      <c r="Q45">
        <v>5.0999999999999997E-2</v>
      </c>
      <c r="S45" s="57"/>
    </row>
    <row r="46" spans="1:19">
      <c r="A46" s="45">
        <v>39600</v>
      </c>
      <c r="B46">
        <v>41146.26</v>
      </c>
      <c r="C46">
        <v>5.2299999999999999E-2</v>
      </c>
      <c r="D46">
        <f t="shared" si="0"/>
        <v>-0.37730480590347515</v>
      </c>
      <c r="E46">
        <f t="shared" si="1"/>
        <v>3.5799999999999998E-2</v>
      </c>
      <c r="F46" s="49">
        <f t="shared" si="3"/>
        <v>-0.21283288354208507</v>
      </c>
      <c r="H46" s="47"/>
      <c r="I46" s="47"/>
      <c r="J46" s="47"/>
      <c r="K46" s="1"/>
      <c r="Q46">
        <v>5.2299999999999999E-2</v>
      </c>
      <c r="S46" s="57"/>
    </row>
    <row r="47" spans="1:19">
      <c r="A47" s="45">
        <v>39630</v>
      </c>
      <c r="B47">
        <v>42405.83</v>
      </c>
      <c r="C47">
        <v>5.2200000000000003E-2</v>
      </c>
      <c r="D47">
        <f t="shared" si="0"/>
        <v>-0.3339801528242583</v>
      </c>
      <c r="E47">
        <f t="shared" si="1"/>
        <v>3.78E-2</v>
      </c>
      <c r="F47" s="49">
        <f t="shared" si="3"/>
        <v>-0.18669475836122165</v>
      </c>
      <c r="H47" s="47"/>
      <c r="I47" s="47"/>
      <c r="J47" s="47"/>
      <c r="K47" s="1"/>
      <c r="Q47">
        <v>5.2200000000000003E-2</v>
      </c>
      <c r="S47" s="57"/>
    </row>
    <row r="48" spans="1:19">
      <c r="A48" s="45">
        <v>39661</v>
      </c>
      <c r="B48">
        <v>40481.800000000003</v>
      </c>
      <c r="C48">
        <v>5.3900000000000003E-2</v>
      </c>
      <c r="D48">
        <f t="shared" si="0"/>
        <v>-0.33253267196329883</v>
      </c>
      <c r="E48">
        <f t="shared" si="1"/>
        <v>3.8199999999999998E-2</v>
      </c>
      <c r="F48" s="49">
        <f t="shared" si="3"/>
        <v>-0.18565960317797928</v>
      </c>
      <c r="H48" s="47"/>
      <c r="I48" s="47"/>
      <c r="J48" s="47"/>
      <c r="K48" s="1"/>
      <c r="Q48">
        <v>5.3900000000000003E-2</v>
      </c>
      <c r="S48" s="57"/>
    </row>
    <row r="49" spans="1:19">
      <c r="A49" s="45">
        <v>39692</v>
      </c>
      <c r="B49">
        <v>37367.33</v>
      </c>
      <c r="C49">
        <v>5.8200000000000002E-2</v>
      </c>
      <c r="D49">
        <f t="shared" si="0"/>
        <v>-0.38101708627552056</v>
      </c>
      <c r="E49">
        <f t="shared" si="1"/>
        <v>3.95E-2</v>
      </c>
      <c r="F49" s="49">
        <f t="shared" si="3"/>
        <v>-0.214536918431979</v>
      </c>
      <c r="H49" s="47"/>
      <c r="I49" s="47"/>
      <c r="J49" s="47"/>
      <c r="K49" s="1"/>
      <c r="Q49">
        <v>5.8200000000000002E-2</v>
      </c>
      <c r="S49" s="57"/>
    </row>
    <row r="50" spans="1:19">
      <c r="A50" s="45">
        <v>39722</v>
      </c>
      <c r="B50">
        <v>28397.06</v>
      </c>
      <c r="C50">
        <v>6.1100000000000002E-2</v>
      </c>
      <c r="D50">
        <f t="shared" si="0"/>
        <v>-0.55015598847139535</v>
      </c>
      <c r="E50">
        <f t="shared" si="1"/>
        <v>4.0300000000000002E-2</v>
      </c>
      <c r="F50" s="49">
        <f t="shared" si="3"/>
        <v>-0.31580359308283718</v>
      </c>
      <c r="H50" s="47"/>
      <c r="I50" s="47"/>
      <c r="J50" s="47"/>
      <c r="K50" s="1"/>
      <c r="Q50">
        <v>6.1100000000000002E-2</v>
      </c>
      <c r="S50" s="57"/>
    </row>
    <row r="51" spans="1:19">
      <c r="A51" s="45">
        <v>39753</v>
      </c>
      <c r="B51">
        <v>27130.09</v>
      </c>
      <c r="C51">
        <v>6.2300000000000001E-2</v>
      </c>
      <c r="D51">
        <f t="shared" si="0"/>
        <v>-0.5213486948194328</v>
      </c>
      <c r="E51">
        <f t="shared" si="1"/>
        <v>4.0599999999999997E-2</v>
      </c>
      <c r="F51" s="49">
        <f t="shared" si="3"/>
        <v>-0.298282550224993</v>
      </c>
      <c r="H51" s="47"/>
      <c r="I51" s="47"/>
      <c r="J51" s="47"/>
      <c r="K51" s="1"/>
      <c r="Q51">
        <v>6.2300000000000001E-2</v>
      </c>
      <c r="S51" s="57"/>
    </row>
    <row r="52" spans="1:19" s="49" customFormat="1">
      <c r="A52" s="48">
        <v>39783</v>
      </c>
      <c r="B52" s="49">
        <v>27228.639999999999</v>
      </c>
      <c r="C52" s="49">
        <v>6.5199999999999994E-2</v>
      </c>
      <c r="D52" s="49">
        <f t="shared" si="0"/>
        <v>-0.51070342546273451</v>
      </c>
      <c r="E52" s="49">
        <f t="shared" si="1"/>
        <v>4.1599999999999998E-2</v>
      </c>
      <c r="F52" s="49">
        <f t="shared" si="3"/>
        <v>-0.29161205527764072</v>
      </c>
      <c r="H52" s="50"/>
      <c r="I52" s="50">
        <f>$I$2*(1+D52)</f>
        <v>58715.588944471856</v>
      </c>
      <c r="J52" s="50">
        <f>$J$2*(1+E52)</f>
        <v>83328</v>
      </c>
      <c r="K52" s="51">
        <f t="shared" si="2"/>
        <v>142043.58894447185</v>
      </c>
      <c r="L52" s="51">
        <f>K52-$I$3</f>
        <v>-57956.411055528151</v>
      </c>
      <c r="M52" s="1">
        <f>((J52-MIN(J52,$K$2))+(I52-MIN(I52,MAX($L$2-MIN(J52,$K$2),0))))*R52</f>
        <v>446.61749600000002</v>
      </c>
      <c r="N52" s="51">
        <f>IF(L52&gt;0,0.19*L52,0)</f>
        <v>0</v>
      </c>
      <c r="O52" s="53">
        <f>K52-M52</f>
        <v>141596.97144847186</v>
      </c>
      <c r="P52" s="53">
        <f>K52-N52</f>
        <v>142043.58894447185</v>
      </c>
      <c r="Q52">
        <v>6.5199999999999994E-2</v>
      </c>
      <c r="R52">
        <f>MAX(0.19*Q38,0.1%)</f>
        <v>7.6570000000000006E-3</v>
      </c>
      <c r="S52" s="56">
        <f>O52-P52</f>
        <v>-446.61749599999166</v>
      </c>
    </row>
    <row r="53" spans="1:19">
      <c r="A53" s="45">
        <v>39814</v>
      </c>
      <c r="B53">
        <v>24685.360000000001</v>
      </c>
      <c r="C53">
        <v>6.1499999999999999E-2</v>
      </c>
      <c r="D53">
        <f t="shared" si="0"/>
        <v>-0.4830053985722067</v>
      </c>
      <c r="E53">
        <f t="shared" si="1"/>
        <v>4.3099999999999999E-2</v>
      </c>
      <c r="F53" s="49">
        <f t="shared" si="3"/>
        <v>-0.27467990580999069</v>
      </c>
      <c r="H53" s="47"/>
      <c r="I53" s="47"/>
      <c r="J53" s="47"/>
      <c r="K53" s="1"/>
      <c r="Q53">
        <v>6.1499999999999999E-2</v>
      </c>
      <c r="S53" s="57"/>
    </row>
    <row r="54" spans="1:19">
      <c r="A54" s="45">
        <v>39845</v>
      </c>
      <c r="B54">
        <v>21690.75</v>
      </c>
      <c r="C54">
        <v>5.3900000000000003E-2</v>
      </c>
      <c r="D54">
        <f t="shared" si="0"/>
        <v>-0.5435640335002736</v>
      </c>
      <c r="E54">
        <f t="shared" si="1"/>
        <v>4.6899999999999997E-2</v>
      </c>
      <c r="F54" s="49">
        <f t="shared" si="3"/>
        <v>-0.31058175343349748</v>
      </c>
      <c r="H54" s="47"/>
      <c r="I54" s="47"/>
      <c r="J54" s="47"/>
      <c r="K54" s="1"/>
      <c r="Q54">
        <v>5.3900000000000003E-2</v>
      </c>
      <c r="S54" s="57"/>
    </row>
    <row r="55" spans="1:19">
      <c r="A55" s="45">
        <v>39873</v>
      </c>
      <c r="B55">
        <v>24036.12</v>
      </c>
      <c r="C55">
        <v>4.9599999999999998E-2</v>
      </c>
      <c r="D55">
        <f t="shared" si="0"/>
        <v>-0.49936514918994035</v>
      </c>
      <c r="E55">
        <f t="shared" si="1"/>
        <v>4.8899999999999999E-2</v>
      </c>
      <c r="F55" s="49">
        <f t="shared" si="3"/>
        <v>-0.2835657561806309</v>
      </c>
      <c r="H55" s="47"/>
      <c r="I55" s="47"/>
      <c r="J55" s="47"/>
      <c r="K55" s="1"/>
      <c r="Q55">
        <v>4.9599999999999998E-2</v>
      </c>
      <c r="S55" s="57"/>
    </row>
    <row r="56" spans="1:19">
      <c r="A56" s="45">
        <v>39904</v>
      </c>
      <c r="B56">
        <v>29018.62</v>
      </c>
      <c r="C56">
        <v>4.4900000000000002E-2</v>
      </c>
      <c r="D56">
        <f t="shared" si="0"/>
        <v>-0.37850767928614504</v>
      </c>
      <c r="E56">
        <f t="shared" si="1"/>
        <v>5.0999999999999997E-2</v>
      </c>
      <c r="F56" s="49">
        <f t="shared" si="3"/>
        <v>-0.21047794090502037</v>
      </c>
      <c r="H56" s="47"/>
      <c r="I56" s="47"/>
      <c r="J56" s="47"/>
      <c r="K56" s="1"/>
      <c r="Q56">
        <v>4.4900000000000002E-2</v>
      </c>
      <c r="S56" s="57"/>
    </row>
    <row r="57" spans="1:19">
      <c r="A57" s="45">
        <v>39934</v>
      </c>
      <c r="B57">
        <v>29322.720000000001</v>
      </c>
      <c r="C57">
        <v>4.48E-2</v>
      </c>
      <c r="D57">
        <f t="shared" si="0"/>
        <v>-0.37108692351050221</v>
      </c>
      <c r="E57">
        <f t="shared" si="1"/>
        <v>5.0999999999999997E-2</v>
      </c>
      <c r="F57" s="49">
        <f t="shared" si="3"/>
        <v>-0.20549548743963467</v>
      </c>
      <c r="H57" s="47"/>
      <c r="I57" s="47"/>
      <c r="J57" s="47"/>
      <c r="K57" s="1"/>
      <c r="Q57">
        <v>4.48E-2</v>
      </c>
      <c r="S57" s="57"/>
    </row>
    <row r="58" spans="1:19">
      <c r="A58" s="45">
        <v>39965</v>
      </c>
      <c r="B58">
        <v>30419.03</v>
      </c>
      <c r="C58">
        <v>4.3999999999999997E-2</v>
      </c>
      <c r="D58">
        <f t="shared" si="0"/>
        <v>-0.26070972185564378</v>
      </c>
      <c r="E58">
        <f t="shared" si="1"/>
        <v>5.2299999999999999E-2</v>
      </c>
      <c r="F58" s="49">
        <f t="shared" si="3"/>
        <v>-0.13871916644671958</v>
      </c>
      <c r="H58" s="47"/>
      <c r="I58" s="47"/>
      <c r="J58" s="47"/>
      <c r="K58" s="1"/>
      <c r="Q58">
        <v>4.3999999999999997E-2</v>
      </c>
      <c r="S58" s="57"/>
    </row>
    <row r="59" spans="1:19">
      <c r="A59" s="45">
        <v>39995</v>
      </c>
      <c r="B59">
        <v>35261.9</v>
      </c>
      <c r="C59">
        <v>4.3099999999999999E-2</v>
      </c>
      <c r="D59">
        <f t="shared" si="0"/>
        <v>-0.16846575105356976</v>
      </c>
      <c r="E59">
        <f t="shared" si="1"/>
        <v>5.2200000000000003E-2</v>
      </c>
      <c r="F59" s="49">
        <f t="shared" si="3"/>
        <v>-8.2892783965475184E-2</v>
      </c>
      <c r="H59" s="47"/>
      <c r="I59" s="47"/>
      <c r="J59" s="47"/>
      <c r="K59" s="1"/>
      <c r="Q59">
        <v>4.3099999999999999E-2</v>
      </c>
      <c r="S59" s="57"/>
    </row>
    <row r="60" spans="1:19">
      <c r="A60" s="45">
        <v>40026</v>
      </c>
      <c r="B60">
        <v>37954.76</v>
      </c>
      <c r="C60">
        <v>4.24E-2</v>
      </c>
      <c r="D60">
        <f t="shared" si="0"/>
        <v>-6.2424101695082723E-2</v>
      </c>
      <c r="E60">
        <f t="shared" si="1"/>
        <v>5.3900000000000003E-2</v>
      </c>
      <c r="F60" s="49">
        <f t="shared" si="3"/>
        <v>-1.8744461017049636E-2</v>
      </c>
      <c r="H60" s="47"/>
      <c r="I60" s="47"/>
      <c r="J60" s="47"/>
      <c r="K60" s="1"/>
      <c r="Q60">
        <v>4.24E-2</v>
      </c>
      <c r="S60" s="57"/>
    </row>
    <row r="61" spans="1:19">
      <c r="A61" s="45">
        <v>40057</v>
      </c>
      <c r="B61">
        <v>37580.32</v>
      </c>
      <c r="C61">
        <v>4.24E-2</v>
      </c>
      <c r="D61">
        <f t="shared" si="0"/>
        <v>5.6998988153555974E-3</v>
      </c>
      <c r="E61">
        <f t="shared" si="1"/>
        <v>5.8200000000000002E-2</v>
      </c>
      <c r="F61" s="49">
        <f t="shared" si="3"/>
        <v>2.2753272622546696E-2</v>
      </c>
      <c r="H61" s="47"/>
      <c r="I61" s="47"/>
      <c r="J61" s="47"/>
      <c r="K61" s="1"/>
      <c r="Q61">
        <v>4.24E-2</v>
      </c>
      <c r="S61" s="57"/>
    </row>
    <row r="62" spans="1:19">
      <c r="A62" s="45">
        <v>40087</v>
      </c>
      <c r="B62">
        <v>38427.56</v>
      </c>
      <c r="C62">
        <v>4.2500000000000003E-2</v>
      </c>
      <c r="D62">
        <f t="shared" si="0"/>
        <v>0.35322318578049972</v>
      </c>
      <c r="E62">
        <f t="shared" si="1"/>
        <v>6.1100000000000002E-2</v>
      </c>
      <c r="F62" s="49">
        <f t="shared" si="3"/>
        <v>0.23196057813496648</v>
      </c>
      <c r="H62" s="47"/>
      <c r="I62" s="47"/>
      <c r="J62" s="47"/>
      <c r="K62" s="1"/>
      <c r="Q62">
        <v>4.2500000000000003E-2</v>
      </c>
      <c r="S62" s="57"/>
    </row>
    <row r="63" spans="1:19">
      <c r="A63" s="45">
        <v>40118</v>
      </c>
      <c r="B63">
        <v>39581.49</v>
      </c>
      <c r="C63">
        <v>4.2099999999999999E-2</v>
      </c>
      <c r="D63">
        <f t="shared" si="0"/>
        <v>0.45895166584408664</v>
      </c>
      <c r="E63">
        <f t="shared" si="1"/>
        <v>6.2300000000000001E-2</v>
      </c>
      <c r="F63" s="49">
        <f t="shared" si="3"/>
        <v>0.29612099950645199</v>
      </c>
      <c r="H63" s="47"/>
      <c r="I63" s="47"/>
      <c r="J63" s="47"/>
      <c r="K63" s="1"/>
      <c r="Q63">
        <v>4.2099999999999999E-2</v>
      </c>
      <c r="S63" s="57"/>
    </row>
    <row r="64" spans="1:19" s="49" customFormat="1">
      <c r="A64" s="48">
        <v>40148</v>
      </c>
      <c r="B64" s="49">
        <v>39985.99</v>
      </c>
      <c r="C64" s="49">
        <v>4.0300000000000002E-2</v>
      </c>
      <c r="D64" s="49">
        <f t="shared" si="0"/>
        <v>0.46852688933417164</v>
      </c>
      <c r="E64" s="49">
        <f t="shared" si="1"/>
        <v>6.5199999999999994E-2</v>
      </c>
      <c r="F64" s="49">
        <f t="shared" si="3"/>
        <v>0.30265280026716962</v>
      </c>
      <c r="H64" s="50"/>
      <c r="I64" s="50">
        <f>$I$2*(1+D64)</f>
        <v>176223.22672010059</v>
      </c>
      <c r="J64" s="50">
        <f>$J$2*(1+E64)</f>
        <v>85216</v>
      </c>
      <c r="K64" s="51">
        <f t="shared" si="2"/>
        <v>261439.22672010059</v>
      </c>
      <c r="L64" s="51">
        <f>K64-$I$3</f>
        <v>61439.226720100589</v>
      </c>
      <c r="M64" s="1">
        <f>((J64-MIN(J64,$K$2))+(I64-MIN(I64,MAX($L$2-MIN(J64,$K$2),0))))*R64</f>
        <v>1874.1479829936479</v>
      </c>
      <c r="N64" s="51">
        <f>IF(L64&gt;0,0.19*L64,0)</f>
        <v>11673.453076819113</v>
      </c>
      <c r="O64" s="53">
        <f>K64-M64</f>
        <v>259565.07873710693</v>
      </c>
      <c r="P64" s="53">
        <f>K64-N64</f>
        <v>249765.77364328149</v>
      </c>
      <c r="Q64">
        <v>4.0300000000000002E-2</v>
      </c>
      <c r="R64">
        <f>MAX(0.19*Q50,0.1%)</f>
        <v>1.1609000000000001E-2</v>
      </c>
      <c r="S64" s="56">
        <f>O64-P64</f>
        <v>9799.3050938254455</v>
      </c>
    </row>
    <row r="65" spans="1:19">
      <c r="A65" s="45">
        <v>40179</v>
      </c>
      <c r="B65">
        <v>40058.26</v>
      </c>
      <c r="C65">
        <v>3.9100000000000003E-2</v>
      </c>
      <c r="D65">
        <f t="shared" si="0"/>
        <v>0.62275372933593043</v>
      </c>
      <c r="E65">
        <f t="shared" si="1"/>
        <v>6.1499999999999999E-2</v>
      </c>
      <c r="F65" s="49">
        <f t="shared" si="3"/>
        <v>0.39580223760155825</v>
      </c>
      <c r="H65" s="47"/>
      <c r="I65" s="47"/>
      <c r="J65" s="47"/>
      <c r="K65" s="1"/>
      <c r="Q65">
        <v>3.9100000000000003E-2</v>
      </c>
      <c r="S65" s="57"/>
    </row>
    <row r="66" spans="1:19">
      <c r="A66" s="45">
        <v>40210</v>
      </c>
      <c r="B66">
        <v>38708.61</v>
      </c>
      <c r="C66">
        <v>3.8100000000000002E-2</v>
      </c>
      <c r="D66">
        <f t="shared" si="0"/>
        <v>0.78456761522768925</v>
      </c>
      <c r="E66">
        <f t="shared" si="1"/>
        <v>5.3900000000000003E-2</v>
      </c>
      <c r="F66" s="49">
        <f t="shared" si="3"/>
        <v>0.49312390246994686</v>
      </c>
      <c r="H66" s="47"/>
      <c r="I66" s="47"/>
      <c r="J66" s="47"/>
      <c r="K66" s="1"/>
      <c r="Q66">
        <v>3.8100000000000002E-2</v>
      </c>
      <c r="S66" s="57"/>
    </row>
    <row r="67" spans="1:19">
      <c r="A67" s="45">
        <v>40238</v>
      </c>
      <c r="B67">
        <v>42446.51</v>
      </c>
      <c r="C67">
        <v>3.9E-2</v>
      </c>
      <c r="D67">
        <f t="shared" si="0"/>
        <v>0.76594683334914304</v>
      </c>
      <c r="E67">
        <f t="shared" si="1"/>
        <v>4.9599999999999998E-2</v>
      </c>
      <c r="F67" s="49">
        <f t="shared" si="3"/>
        <v>0.48197476667615247</v>
      </c>
      <c r="H67" s="47"/>
      <c r="I67" s="47"/>
      <c r="J67" s="47"/>
      <c r="K67" s="1"/>
      <c r="Q67">
        <v>3.9E-2</v>
      </c>
      <c r="S67" s="57"/>
    </row>
    <row r="68" spans="1:19">
      <c r="A68" s="45">
        <v>40269</v>
      </c>
      <c r="B68">
        <v>43295.17</v>
      </c>
      <c r="C68">
        <v>3.9E-2</v>
      </c>
      <c r="D68">
        <f t="shared" si="0"/>
        <v>0.49197894317510626</v>
      </c>
      <c r="E68">
        <f t="shared" si="1"/>
        <v>4.4900000000000002E-2</v>
      </c>
      <c r="F68" s="49">
        <f t="shared" si="3"/>
        <v>0.31739069923839708</v>
      </c>
      <c r="H68" s="47"/>
      <c r="I68" s="47"/>
      <c r="J68" s="47"/>
      <c r="K68" s="1"/>
      <c r="Q68">
        <v>3.9E-2</v>
      </c>
      <c r="S68" s="57"/>
    </row>
    <row r="69" spans="1:19">
      <c r="A69" s="45">
        <v>40299</v>
      </c>
      <c r="B69">
        <v>41530.089999999997</v>
      </c>
      <c r="C69">
        <v>3.8100000000000002E-2</v>
      </c>
      <c r="D69">
        <f t="shared" si="0"/>
        <v>0.41631096978725002</v>
      </c>
      <c r="E69">
        <f t="shared" si="1"/>
        <v>4.48E-2</v>
      </c>
      <c r="F69" s="49">
        <f t="shared" si="3"/>
        <v>0.2717832485390167</v>
      </c>
      <c r="H69" s="47"/>
      <c r="I69" s="47"/>
      <c r="J69" s="47"/>
      <c r="K69" s="1"/>
      <c r="Q69">
        <v>3.8100000000000002E-2</v>
      </c>
      <c r="S69" s="57"/>
    </row>
    <row r="70" spans="1:19">
      <c r="A70" s="45">
        <v>40330</v>
      </c>
      <c r="B70">
        <v>39392.47</v>
      </c>
      <c r="C70">
        <v>3.6799999999999999E-2</v>
      </c>
      <c r="D70">
        <f t="shared" si="0"/>
        <v>0.2949942848276228</v>
      </c>
      <c r="E70">
        <f t="shared" si="1"/>
        <v>4.3999999999999997E-2</v>
      </c>
      <c r="F70" s="49">
        <f t="shared" si="3"/>
        <v>0.19871657089657369</v>
      </c>
      <c r="H70" s="47"/>
      <c r="I70" s="47"/>
      <c r="J70" s="47"/>
      <c r="K70" s="1"/>
      <c r="Q70">
        <v>3.6799999999999999E-2</v>
      </c>
      <c r="S70" s="57"/>
    </row>
    <row r="71" spans="1:19">
      <c r="A71" s="45">
        <v>40360</v>
      </c>
      <c r="B71">
        <v>42464.68</v>
      </c>
      <c r="C71">
        <v>3.5900000000000001E-2</v>
      </c>
      <c r="D71">
        <f t="shared" si="0"/>
        <v>0.20426522677450731</v>
      </c>
      <c r="E71">
        <f t="shared" si="1"/>
        <v>4.3099999999999999E-2</v>
      </c>
      <c r="F71" s="49">
        <f t="shared" si="3"/>
        <v>0.14397580273137106</v>
      </c>
      <c r="H71" s="47"/>
      <c r="I71" s="47"/>
      <c r="J71" s="47"/>
      <c r="K71" s="1"/>
      <c r="Q71">
        <v>3.5900000000000001E-2</v>
      </c>
      <c r="S71" s="57"/>
    </row>
    <row r="72" spans="1:19">
      <c r="A72" s="45">
        <v>40391</v>
      </c>
      <c r="B72">
        <v>42215.66</v>
      </c>
      <c r="C72">
        <v>3.5200000000000002E-2</v>
      </c>
      <c r="D72">
        <f t="shared" si="0"/>
        <v>0.11226259894674606</v>
      </c>
      <c r="E72">
        <f t="shared" si="1"/>
        <v>4.24E-2</v>
      </c>
      <c r="F72" s="49">
        <f t="shared" si="3"/>
        <v>8.8390892701380966E-2</v>
      </c>
      <c r="H72" s="47"/>
      <c r="I72" s="47"/>
      <c r="J72" s="47"/>
      <c r="K72" s="1"/>
      <c r="Q72">
        <v>3.5200000000000002E-2</v>
      </c>
      <c r="S72" s="57"/>
    </row>
    <row r="73" spans="1:19">
      <c r="A73" s="45">
        <v>40422</v>
      </c>
      <c r="B73">
        <v>45236.72</v>
      </c>
      <c r="C73">
        <v>3.5400000000000001E-2</v>
      </c>
      <c r="D73">
        <f t="shared" si="0"/>
        <v>0.20373429497141071</v>
      </c>
      <c r="E73">
        <f t="shared" si="1"/>
        <v>4.24E-2</v>
      </c>
      <c r="F73" s="49">
        <f t="shared" si="3"/>
        <v>0.14274724364951308</v>
      </c>
      <c r="H73" s="47"/>
      <c r="I73" s="47"/>
      <c r="J73" s="47"/>
      <c r="K73" s="1"/>
      <c r="Q73">
        <v>3.5400000000000001E-2</v>
      </c>
      <c r="S73" s="57"/>
    </row>
    <row r="74" spans="1:19">
      <c r="A74" s="45">
        <v>40452</v>
      </c>
      <c r="B74">
        <v>46229.599999999999</v>
      </c>
      <c r="C74">
        <v>3.5299999999999998E-2</v>
      </c>
      <c r="D74">
        <f t="shared" si="0"/>
        <v>0.20303240694959568</v>
      </c>
      <c r="E74">
        <f t="shared" si="1"/>
        <v>4.2500000000000003E-2</v>
      </c>
      <c r="F74" s="49">
        <f t="shared" si="3"/>
        <v>0.14170611083642407</v>
      </c>
      <c r="H74" s="47"/>
      <c r="I74" s="47"/>
      <c r="J74" s="47"/>
      <c r="K74" s="1"/>
      <c r="Q74">
        <v>3.5299999999999998E-2</v>
      </c>
      <c r="S74" s="57"/>
    </row>
    <row r="75" spans="1:19">
      <c r="A75" s="45">
        <v>40483</v>
      </c>
      <c r="B75">
        <v>45361.07</v>
      </c>
      <c r="C75">
        <v>3.5700000000000003E-2</v>
      </c>
      <c r="D75">
        <f t="shared" si="0"/>
        <v>0.14601724189766485</v>
      </c>
      <c r="E75">
        <f t="shared" si="1"/>
        <v>4.2099999999999999E-2</v>
      </c>
      <c r="F75" s="49">
        <f t="shared" si="3"/>
        <v>0.10682367847193223</v>
      </c>
      <c r="H75" s="47"/>
      <c r="I75" s="47"/>
      <c r="J75" s="47"/>
      <c r="K75" s="1"/>
      <c r="Q75">
        <v>3.5700000000000003E-2</v>
      </c>
      <c r="S75" s="57"/>
    </row>
    <row r="76" spans="1:19" s="49" customFormat="1">
      <c r="A76" s="48">
        <v>40513</v>
      </c>
      <c r="B76" s="49">
        <v>47489.91</v>
      </c>
      <c r="C76" s="49">
        <v>3.56E-2</v>
      </c>
      <c r="D76" s="49">
        <f t="shared" si="0"/>
        <v>0.18766372922115981</v>
      </c>
      <c r="E76" s="49">
        <f t="shared" si="1"/>
        <v>4.0300000000000002E-2</v>
      </c>
      <c r="F76" s="49">
        <f t="shared" si="3"/>
        <v>0.13098157086602921</v>
      </c>
      <c r="H76" s="50"/>
      <c r="I76" s="50">
        <f>$I$2*(1+D76)</f>
        <v>142519.64750653919</v>
      </c>
      <c r="J76" s="50">
        <f>$J$2*(1+E76)</f>
        <v>83224</v>
      </c>
      <c r="K76" s="51">
        <f t="shared" si="2"/>
        <v>225743.64750653919</v>
      </c>
      <c r="L76" s="51">
        <f>K76-$I$3</f>
        <v>25743.647506539186</v>
      </c>
      <c r="M76" s="1">
        <f>((J76-MIN(J76,$K$2))+(I76-MIN(I76,MAX($L$2-MIN(J76,$K$2),0))))*R76</f>
        <v>1015.379953615304</v>
      </c>
      <c r="N76" s="51">
        <f>IF(L76&gt;0,0.19*L76,0)</f>
        <v>4891.2930262424452</v>
      </c>
      <c r="O76" s="53">
        <f>K76-M76</f>
        <v>224728.26755292388</v>
      </c>
      <c r="P76" s="53">
        <f>K76-N76</f>
        <v>220852.35448029675</v>
      </c>
      <c r="Q76">
        <v>3.56E-2</v>
      </c>
      <c r="R76">
        <f>MAX(0.19*Q62,0.1%)</f>
        <v>8.0750000000000006E-3</v>
      </c>
      <c r="S76" s="56">
        <f>O76-P76</f>
        <v>3875.9130726271251</v>
      </c>
    </row>
    <row r="77" spans="1:19">
      <c r="A77" s="45">
        <v>40544</v>
      </c>
      <c r="B77">
        <v>47156.76</v>
      </c>
      <c r="C77">
        <v>3.56E-2</v>
      </c>
      <c r="D77">
        <f t="shared" si="0"/>
        <v>0.1772044017887946</v>
      </c>
      <c r="E77">
        <f t="shared" si="1"/>
        <v>3.9100000000000003E-2</v>
      </c>
      <c r="F77" s="49">
        <f t="shared" si="3"/>
        <v>0.12395930773994343</v>
      </c>
      <c r="H77" s="47"/>
      <c r="I77" s="47"/>
      <c r="J77" s="47"/>
      <c r="K77" s="1"/>
      <c r="Q77">
        <v>3.56E-2</v>
      </c>
      <c r="S77" s="57"/>
    </row>
    <row r="78" spans="1:19">
      <c r="A78" s="45">
        <v>40575</v>
      </c>
      <c r="B78">
        <v>47540.91</v>
      </c>
      <c r="C78">
        <v>3.6499999999999998E-2</v>
      </c>
      <c r="D78">
        <f t="shared" si="0"/>
        <v>0.22817404189920554</v>
      </c>
      <c r="E78">
        <f t="shared" si="1"/>
        <v>3.8100000000000002E-2</v>
      </c>
      <c r="F78" s="49">
        <f t="shared" si="3"/>
        <v>0.15401442513952332</v>
      </c>
      <c r="H78" s="47"/>
      <c r="I78" s="47"/>
      <c r="J78" s="47"/>
      <c r="K78" s="1"/>
      <c r="Q78">
        <v>3.6499999999999998E-2</v>
      </c>
      <c r="S78" s="57"/>
    </row>
    <row r="79" spans="1:19">
      <c r="A79" s="45">
        <v>40603</v>
      </c>
      <c r="B79">
        <v>48729.83</v>
      </c>
      <c r="C79">
        <v>3.7699999999999997E-2</v>
      </c>
      <c r="D79">
        <f t="shared" si="0"/>
        <v>0.14802913125248685</v>
      </c>
      <c r="E79">
        <f t="shared" si="1"/>
        <v>3.9E-2</v>
      </c>
      <c r="F79" s="49">
        <f t="shared" si="3"/>
        <v>0.10557414541815878</v>
      </c>
      <c r="H79" s="47"/>
      <c r="I79" s="47"/>
      <c r="J79" s="47"/>
      <c r="K79" s="1"/>
      <c r="Q79">
        <v>3.7699999999999997E-2</v>
      </c>
      <c r="S79" s="57"/>
    </row>
    <row r="80" spans="1:19">
      <c r="A80" s="45">
        <v>40634</v>
      </c>
      <c r="B80">
        <v>50008.98</v>
      </c>
      <c r="C80">
        <v>3.7699999999999997E-2</v>
      </c>
      <c r="D80">
        <f t="shared" si="0"/>
        <v>0.15507064644855317</v>
      </c>
      <c r="E80">
        <f t="shared" si="1"/>
        <v>3.9E-2</v>
      </c>
      <c r="F80" s="49">
        <f t="shared" si="3"/>
        <v>0.1096023878691319</v>
      </c>
      <c r="H80" s="47"/>
      <c r="I80" s="47"/>
      <c r="J80" s="47"/>
      <c r="K80" s="1"/>
      <c r="Q80">
        <v>3.7699999999999997E-2</v>
      </c>
      <c r="S80" s="57"/>
    </row>
    <row r="81" spans="1:19">
      <c r="A81" s="45">
        <v>40664</v>
      </c>
      <c r="B81">
        <v>50025.61</v>
      </c>
      <c r="C81">
        <v>3.8399999999999997E-2</v>
      </c>
      <c r="D81">
        <f t="shared" si="0"/>
        <v>0.2045630047996525</v>
      </c>
      <c r="E81">
        <f t="shared" si="1"/>
        <v>3.8100000000000002E-2</v>
      </c>
      <c r="F81" s="49">
        <f t="shared" si="3"/>
        <v>0.13907446954645816</v>
      </c>
      <c r="H81" s="47"/>
      <c r="I81" s="47"/>
      <c r="J81" s="47"/>
      <c r="K81" s="1"/>
      <c r="Q81">
        <v>3.8399999999999997E-2</v>
      </c>
      <c r="S81" s="57"/>
    </row>
    <row r="82" spans="1:19">
      <c r="A82" s="45">
        <v>40695</v>
      </c>
      <c r="B82">
        <v>48414.36</v>
      </c>
      <c r="C82">
        <v>4.1099999999999998E-2</v>
      </c>
      <c r="D82">
        <f t="shared" ref="D82:D145" si="4">B82/B70-1</f>
        <v>0.22902575035279593</v>
      </c>
      <c r="E82">
        <f t="shared" si="1"/>
        <v>3.6799999999999999E-2</v>
      </c>
      <c r="F82" s="49">
        <f t="shared" si="3"/>
        <v>0.15351211687834423</v>
      </c>
      <c r="H82" s="47"/>
      <c r="I82" s="47"/>
      <c r="J82" s="47"/>
      <c r="K82" s="1"/>
      <c r="Q82">
        <v>4.1099999999999998E-2</v>
      </c>
      <c r="S82" s="57"/>
    </row>
    <row r="83" spans="1:19">
      <c r="A83" s="45">
        <v>40725</v>
      </c>
      <c r="B83">
        <v>47152.63</v>
      </c>
      <c r="C83">
        <v>4.24E-2</v>
      </c>
      <c r="D83">
        <f t="shared" si="4"/>
        <v>0.11039645182773072</v>
      </c>
      <c r="E83">
        <f t="shared" ref="E83:E146" si="5">C71</f>
        <v>3.5900000000000001E-2</v>
      </c>
      <c r="F83" s="49">
        <f t="shared" si="3"/>
        <v>8.2094537763305109E-2</v>
      </c>
      <c r="H83" s="47"/>
      <c r="I83" s="47"/>
      <c r="J83" s="47"/>
      <c r="K83" s="1"/>
      <c r="Q83">
        <v>4.24E-2</v>
      </c>
      <c r="S83" s="57"/>
    </row>
    <row r="84" spans="1:19">
      <c r="A84" s="45">
        <v>40756</v>
      </c>
      <c r="B84">
        <v>42222.38</v>
      </c>
      <c r="C84">
        <v>4.3299999999999998E-2</v>
      </c>
      <c r="D84">
        <f t="shared" si="4"/>
        <v>1.5918263506931041E-4</v>
      </c>
      <c r="E84">
        <f t="shared" si="5"/>
        <v>3.5200000000000002E-2</v>
      </c>
      <c r="F84" s="49">
        <f t="shared" si="3"/>
        <v>1.5712176247708251E-2</v>
      </c>
      <c r="H84" s="47"/>
      <c r="I84" s="47"/>
      <c r="J84" s="47"/>
      <c r="K84" s="1"/>
      <c r="Q84">
        <v>4.3299999999999998E-2</v>
      </c>
      <c r="S84" s="57"/>
    </row>
    <row r="85" spans="1:19">
      <c r="A85" s="45">
        <v>40787</v>
      </c>
      <c r="B85">
        <v>38268.75</v>
      </c>
      <c r="C85">
        <v>4.36E-2</v>
      </c>
      <c r="D85">
        <f t="shared" si="4"/>
        <v>-0.15403349314450743</v>
      </c>
      <c r="E85">
        <f t="shared" si="5"/>
        <v>3.5400000000000001E-2</v>
      </c>
      <c r="F85" s="49">
        <f t="shared" si="3"/>
        <v>-7.7036762553371121E-2</v>
      </c>
      <c r="H85" s="47"/>
      <c r="I85" s="47"/>
      <c r="J85" s="47"/>
      <c r="K85" s="1"/>
      <c r="Q85">
        <v>4.36E-2</v>
      </c>
      <c r="S85" s="57"/>
    </row>
    <row r="86" spans="1:19">
      <c r="A86" s="45">
        <v>40817</v>
      </c>
      <c r="B86">
        <v>41160.660000000003</v>
      </c>
      <c r="C86">
        <v>4.4699999999999997E-2</v>
      </c>
      <c r="D86">
        <f t="shared" si="4"/>
        <v>-0.1096470659490888</v>
      </c>
      <c r="E86">
        <f t="shared" si="5"/>
        <v>3.5299999999999998E-2</v>
      </c>
      <c r="F86" s="49">
        <f t="shared" si="3"/>
        <v>-5.064490623611994E-2</v>
      </c>
      <c r="H86" s="47"/>
      <c r="I86" s="47"/>
      <c r="J86" s="47"/>
      <c r="K86" s="1"/>
      <c r="Q86">
        <v>4.4699999999999997E-2</v>
      </c>
      <c r="S86" s="57"/>
    </row>
    <row r="87" spans="1:19">
      <c r="A87" s="45">
        <v>40848</v>
      </c>
      <c r="B87">
        <v>39502.019999999997</v>
      </c>
      <c r="C87">
        <v>4.6300000000000001E-2</v>
      </c>
      <c r="D87">
        <f t="shared" si="4"/>
        <v>-0.12916472208437768</v>
      </c>
      <c r="E87">
        <f t="shared" si="5"/>
        <v>3.5700000000000003E-2</v>
      </c>
      <c r="F87" s="49">
        <f t="shared" si="3"/>
        <v>-6.2568833250626607E-2</v>
      </c>
      <c r="H87" s="47"/>
      <c r="I87" s="47"/>
      <c r="J87" s="47"/>
      <c r="K87" s="1"/>
      <c r="Q87">
        <v>4.6300000000000001E-2</v>
      </c>
      <c r="S87" s="57"/>
    </row>
    <row r="88" spans="1:19" s="49" customFormat="1">
      <c r="A88" s="48">
        <v>40878</v>
      </c>
      <c r="B88" s="49">
        <v>37595.440000000002</v>
      </c>
      <c r="C88" s="49">
        <v>4.7300000000000002E-2</v>
      </c>
      <c r="D88" s="49">
        <f t="shared" si="4"/>
        <v>-0.2083488892693206</v>
      </c>
      <c r="E88" s="49">
        <f t="shared" si="5"/>
        <v>3.56E-2</v>
      </c>
      <c r="F88" s="49">
        <f t="shared" si="3"/>
        <v>-0.11023600022825902</v>
      </c>
      <c r="H88" s="50"/>
      <c r="I88" s="50">
        <f>$I$2*(1+D88)</f>
        <v>94998.133287681529</v>
      </c>
      <c r="J88" s="50">
        <f>$J$2*(1+E88)</f>
        <v>82848</v>
      </c>
      <c r="K88" s="51">
        <f t="shared" ref="K88:K136" si="6">I88+J88</f>
        <v>177846.13328768153</v>
      </c>
      <c r="L88" s="51">
        <f>K88-$I$3</f>
        <v>-22153.866712318471</v>
      </c>
      <c r="M88" s="1">
        <f>((J88-MIN(J88,$K$2))+(I88-MIN(I88,MAX($L$2-MIN(J88,$K$2),0))))*R88</f>
        <v>522.11401596047995</v>
      </c>
      <c r="N88" s="51">
        <f>IF(L88&gt;0,0.19*L88,0)</f>
        <v>0</v>
      </c>
      <c r="O88" s="53">
        <f>K88-M88</f>
        <v>177324.01927172104</v>
      </c>
      <c r="P88" s="53">
        <f>K88-N88</f>
        <v>177846.13328768153</v>
      </c>
      <c r="Q88">
        <v>4.7300000000000002E-2</v>
      </c>
      <c r="R88">
        <f>MAX(0.19*Q74,0.1%)</f>
        <v>6.7069999999999994E-3</v>
      </c>
      <c r="S88" s="56">
        <f>O88-P88</f>
        <v>-522.11401596048381</v>
      </c>
    </row>
    <row r="89" spans="1:19">
      <c r="A89" s="45">
        <v>40909</v>
      </c>
      <c r="B89">
        <v>40927.75</v>
      </c>
      <c r="C89">
        <v>4.7699999999999999E-2</v>
      </c>
      <c r="D89">
        <f t="shared" si="4"/>
        <v>-0.13209156014959467</v>
      </c>
      <c r="E89">
        <f t="shared" si="5"/>
        <v>3.56E-2</v>
      </c>
      <c r="F89" s="49">
        <f t="shared" si="3"/>
        <v>-6.4598269423090132E-2</v>
      </c>
      <c r="H89" s="47"/>
      <c r="I89" s="47"/>
      <c r="J89" s="47"/>
      <c r="K89" s="1"/>
      <c r="Q89">
        <v>4.7699999999999999E-2</v>
      </c>
      <c r="S89" s="57"/>
    </row>
    <row r="90" spans="1:19">
      <c r="A90" s="45">
        <v>40940</v>
      </c>
      <c r="B90">
        <v>41560.550000000003</v>
      </c>
      <c r="C90">
        <v>4.6600000000000003E-2</v>
      </c>
      <c r="D90">
        <f t="shared" si="4"/>
        <v>-0.12579397407411852</v>
      </c>
      <c r="E90">
        <f t="shared" si="5"/>
        <v>3.6499999999999998E-2</v>
      </c>
      <c r="F90" s="49">
        <f t="shared" si="3"/>
        <v>-6.087305111113777E-2</v>
      </c>
      <c r="H90" s="47"/>
      <c r="I90" s="47"/>
      <c r="J90" s="47"/>
      <c r="K90" s="1"/>
      <c r="Q90">
        <v>4.6600000000000003E-2</v>
      </c>
      <c r="S90" s="57"/>
    </row>
    <row r="91" spans="1:19">
      <c r="A91" s="45">
        <v>40969</v>
      </c>
      <c r="B91">
        <v>41267.160000000003</v>
      </c>
      <c r="C91">
        <v>4.58E-2</v>
      </c>
      <c r="D91">
        <f t="shared" si="4"/>
        <v>-0.15314377251059563</v>
      </c>
      <c r="E91">
        <f t="shared" si="5"/>
        <v>3.7699999999999997E-2</v>
      </c>
      <c r="F91" s="49">
        <f t="shared" si="3"/>
        <v>-7.7326263506357379E-2</v>
      </c>
      <c r="H91" s="47"/>
      <c r="I91" s="47"/>
      <c r="J91" s="47"/>
      <c r="K91" s="1"/>
      <c r="Q91">
        <v>4.58E-2</v>
      </c>
      <c r="S91" s="57"/>
    </row>
    <row r="92" spans="1:19">
      <c r="A92" s="45">
        <v>41000</v>
      </c>
      <c r="B92">
        <v>40273.65</v>
      </c>
      <c r="C92">
        <v>4.58E-2</v>
      </c>
      <c r="D92">
        <f t="shared" si="4"/>
        <v>-0.19467163697399947</v>
      </c>
      <c r="E92">
        <f t="shared" si="5"/>
        <v>3.7699999999999997E-2</v>
      </c>
      <c r="F92" s="49">
        <f t="shared" si="3"/>
        <v>-0.10228631551773301</v>
      </c>
      <c r="H92" s="47"/>
      <c r="I92" s="47"/>
      <c r="J92" s="47"/>
      <c r="K92" s="1"/>
      <c r="Q92">
        <v>4.58E-2</v>
      </c>
      <c r="S92" s="57"/>
    </row>
    <row r="93" spans="1:19">
      <c r="A93" s="45">
        <v>41030</v>
      </c>
      <c r="B93">
        <v>37793.58</v>
      </c>
      <c r="C93">
        <v>4.6800000000000001E-2</v>
      </c>
      <c r="D93">
        <f t="shared" si="4"/>
        <v>-0.24451535923300083</v>
      </c>
      <c r="E93">
        <f t="shared" si="5"/>
        <v>3.8399999999999997E-2</v>
      </c>
      <c r="F93" s="49">
        <f t="shared" ref="F93:F156" si="7">0.6*D93+0.4*AVERAGE(E82:E93)</f>
        <v>-0.13218254887313383</v>
      </c>
      <c r="H93" s="47"/>
      <c r="I93" s="47"/>
      <c r="J93" s="47"/>
      <c r="K93" s="1"/>
      <c r="Q93">
        <v>4.6800000000000001E-2</v>
      </c>
      <c r="S93" s="57"/>
    </row>
    <row r="94" spans="1:19">
      <c r="A94" s="45">
        <v>41061</v>
      </c>
      <c r="B94">
        <v>40810.879999999997</v>
      </c>
      <c r="C94">
        <v>4.9399999999999999E-2</v>
      </c>
      <c r="D94">
        <f t="shared" si="4"/>
        <v>-0.15705009835924721</v>
      </c>
      <c r="E94">
        <f t="shared" si="5"/>
        <v>4.1099999999999998E-2</v>
      </c>
      <c r="F94" s="49">
        <f t="shared" si="7"/>
        <v>-7.9560059015548329E-2</v>
      </c>
      <c r="H94" s="47"/>
      <c r="I94" s="47"/>
      <c r="J94" s="47"/>
      <c r="K94" s="1"/>
      <c r="Q94">
        <v>4.9399999999999999E-2</v>
      </c>
      <c r="S94" s="57"/>
    </row>
    <row r="95" spans="1:19">
      <c r="A95" s="45">
        <v>41091</v>
      </c>
      <c r="B95">
        <v>40163.910000000003</v>
      </c>
      <c r="C95">
        <v>4.9200000000000001E-2</v>
      </c>
      <c r="D95">
        <f t="shared" si="4"/>
        <v>-0.14821485036995807</v>
      </c>
      <c r="E95">
        <f t="shared" si="5"/>
        <v>4.24E-2</v>
      </c>
      <c r="F95" s="49">
        <f t="shared" si="7"/>
        <v>-7.4042243555308168E-2</v>
      </c>
      <c r="H95" s="47"/>
      <c r="I95" s="47"/>
      <c r="J95" s="47"/>
      <c r="K95" s="1"/>
      <c r="Q95">
        <v>4.9200000000000001E-2</v>
      </c>
      <c r="S95" s="57"/>
    </row>
    <row r="96" spans="1:19">
      <c r="A96" s="45">
        <v>41122</v>
      </c>
      <c r="B96">
        <v>41573.57</v>
      </c>
      <c r="C96">
        <v>4.82E-2</v>
      </c>
      <c r="D96">
        <f t="shared" si="4"/>
        <v>-1.5366495209412578E-2</v>
      </c>
      <c r="E96">
        <f t="shared" si="5"/>
        <v>4.3299999999999998E-2</v>
      </c>
      <c r="F96" s="49">
        <f t="shared" si="7"/>
        <v>5.9367695410191181E-3</v>
      </c>
      <c r="H96" s="47"/>
      <c r="I96" s="47"/>
      <c r="J96" s="47"/>
      <c r="K96" s="1"/>
      <c r="Q96">
        <v>4.82E-2</v>
      </c>
      <c r="S96" s="57"/>
    </row>
    <row r="97" spans="1:19">
      <c r="A97" s="45">
        <v>41153</v>
      </c>
      <c r="B97">
        <v>43739.81</v>
      </c>
      <c r="C97">
        <v>4.7800000000000002E-2</v>
      </c>
      <c r="D97">
        <f t="shared" si="4"/>
        <v>0.1429641678915563</v>
      </c>
      <c r="E97">
        <f t="shared" si="5"/>
        <v>4.36E-2</v>
      </c>
      <c r="F97" s="49">
        <f t="shared" si="7"/>
        <v>0.10120850073493377</v>
      </c>
      <c r="H97" s="47"/>
      <c r="I97" s="47"/>
      <c r="J97" s="47"/>
      <c r="K97" s="1"/>
      <c r="Q97">
        <v>4.7800000000000002E-2</v>
      </c>
      <c r="S97" s="57"/>
    </row>
    <row r="98" spans="1:19">
      <c r="A98" s="45">
        <v>41183</v>
      </c>
      <c r="B98">
        <v>43232.44</v>
      </c>
      <c r="C98">
        <v>4.7699999999999999E-2</v>
      </c>
      <c r="D98">
        <f t="shared" si="4"/>
        <v>5.0333983954581774E-2</v>
      </c>
      <c r="E98">
        <f t="shared" si="5"/>
        <v>4.4699999999999997E-2</v>
      </c>
      <c r="F98" s="49">
        <f t="shared" si="7"/>
        <v>4.5943723706082393E-2</v>
      </c>
      <c r="H98" s="47"/>
      <c r="I98" s="47"/>
      <c r="J98" s="47"/>
      <c r="K98" s="1"/>
      <c r="Q98">
        <v>4.7699999999999999E-2</v>
      </c>
      <c r="S98" s="57"/>
    </row>
    <row r="99" spans="1:19">
      <c r="A99" s="45">
        <v>41214</v>
      </c>
      <c r="B99">
        <v>45014.74</v>
      </c>
      <c r="C99">
        <v>4.4900000000000002E-2</v>
      </c>
      <c r="D99">
        <f t="shared" si="4"/>
        <v>0.13955539488866653</v>
      </c>
      <c r="E99">
        <f t="shared" si="5"/>
        <v>4.6300000000000001E-2</v>
      </c>
      <c r="F99" s="49">
        <f t="shared" si="7"/>
        <v>9.9829903599866571E-2</v>
      </c>
      <c r="H99" s="47"/>
      <c r="I99" s="47"/>
      <c r="J99" s="47"/>
      <c r="K99" s="1"/>
      <c r="Q99">
        <v>4.4900000000000002E-2</v>
      </c>
      <c r="S99" s="57"/>
    </row>
    <row r="100" spans="1:19" s="49" customFormat="1">
      <c r="A100" s="48">
        <v>41244</v>
      </c>
      <c r="B100" s="49">
        <v>47460.59</v>
      </c>
      <c r="C100" s="49">
        <v>4.2200000000000001E-2</v>
      </c>
      <c r="D100" s="49">
        <f t="shared" si="4"/>
        <v>0.26240283396071429</v>
      </c>
      <c r="E100" s="49">
        <f t="shared" si="5"/>
        <v>4.7300000000000002E-2</v>
      </c>
      <c r="F100" s="49">
        <f t="shared" si="7"/>
        <v>0.17392836704309525</v>
      </c>
      <c r="H100" s="50"/>
      <c r="I100" s="50">
        <f>$I$2*(1+D100)</f>
        <v>151488.34007528573</v>
      </c>
      <c r="J100" s="50">
        <f>$J$2*(1+E100)</f>
        <v>83783.999999999985</v>
      </c>
      <c r="K100" s="51">
        <f t="shared" si="6"/>
        <v>235272.3400752857</v>
      </c>
      <c r="L100" s="51">
        <f>K100-$I$3</f>
        <v>35272.340075285698</v>
      </c>
      <c r="M100" s="1">
        <f>((J100-MIN(J100,$K$2))+(I100-MIN(I100,MAX($L$2-MIN(J100,$K$2),0))))*R100</f>
        <v>1148.8679842594013</v>
      </c>
      <c r="N100" s="51">
        <f>IF(L100&gt;0,0.19*L100,0)</f>
        <v>6701.7446143042825</v>
      </c>
      <c r="O100" s="53">
        <f>K100-M100</f>
        <v>234123.47209102628</v>
      </c>
      <c r="P100" s="53">
        <f>K100-N100</f>
        <v>228570.59546098142</v>
      </c>
      <c r="Q100">
        <v>4.2200000000000001E-2</v>
      </c>
      <c r="R100">
        <f>MAX(0.19*Q86,0.1%)</f>
        <v>8.4929999999999988E-3</v>
      </c>
      <c r="S100" s="56">
        <f>O100-P100</f>
        <v>5552.8766300448624</v>
      </c>
    </row>
    <row r="101" spans="1:19">
      <c r="A101" s="45">
        <v>41275</v>
      </c>
      <c r="B101">
        <v>46840.15</v>
      </c>
      <c r="C101">
        <v>3.9600000000000003E-2</v>
      </c>
      <c r="D101">
        <f t="shared" si="4"/>
        <v>0.14445944377592235</v>
      </c>
      <c r="E101">
        <f t="shared" si="5"/>
        <v>4.7699999999999999E-2</v>
      </c>
      <c r="F101" s="49">
        <f t="shared" si="7"/>
        <v>0.10356566626555341</v>
      </c>
      <c r="H101" s="47"/>
      <c r="I101" s="47"/>
      <c r="J101" s="47"/>
      <c r="K101" s="1"/>
      <c r="Q101">
        <v>3.9600000000000003E-2</v>
      </c>
      <c r="S101" s="57"/>
    </row>
    <row r="102" spans="1:19">
      <c r="A102" s="45">
        <v>41306</v>
      </c>
      <c r="B102">
        <v>46280.36</v>
      </c>
      <c r="C102">
        <v>3.7499999999999999E-2</v>
      </c>
      <c r="D102">
        <f t="shared" si="4"/>
        <v>0.11356466649262331</v>
      </c>
      <c r="E102">
        <f t="shared" si="5"/>
        <v>4.6600000000000003E-2</v>
      </c>
      <c r="F102" s="49">
        <f t="shared" si="7"/>
        <v>8.5365466562240658E-2</v>
      </c>
      <c r="H102" s="47"/>
      <c r="I102" s="47"/>
      <c r="J102" s="47"/>
      <c r="K102" s="1"/>
      <c r="Q102">
        <v>3.7499999999999999E-2</v>
      </c>
      <c r="S102" s="57"/>
    </row>
    <row r="103" spans="1:19">
      <c r="A103" s="45">
        <v>41334</v>
      </c>
      <c r="B103">
        <v>45147.57</v>
      </c>
      <c r="C103">
        <v>3.3399999999999999E-2</v>
      </c>
      <c r="D103">
        <f t="shared" si="4"/>
        <v>9.4031428380339177E-2</v>
      </c>
      <c r="E103">
        <f t="shared" si="5"/>
        <v>4.58E-2</v>
      </c>
      <c r="F103" s="49">
        <f t="shared" si="7"/>
        <v>7.3915523694870172E-2</v>
      </c>
      <c r="H103" s="47"/>
      <c r="I103" s="47"/>
      <c r="J103" s="47"/>
      <c r="K103" s="1"/>
      <c r="Q103">
        <v>3.3399999999999999E-2</v>
      </c>
      <c r="S103" s="57"/>
    </row>
    <row r="104" spans="1:19">
      <c r="A104" s="45">
        <v>41365</v>
      </c>
      <c r="B104">
        <v>44162.18</v>
      </c>
      <c r="C104">
        <v>3.1E-2</v>
      </c>
      <c r="D104">
        <f t="shared" si="4"/>
        <v>9.6552708781051599E-2</v>
      </c>
      <c r="E104">
        <f t="shared" si="5"/>
        <v>4.58E-2</v>
      </c>
      <c r="F104" s="49">
        <f t="shared" si="7"/>
        <v>7.5698291935297618E-2</v>
      </c>
      <c r="H104" s="47"/>
      <c r="I104" s="47"/>
      <c r="J104" s="47"/>
      <c r="K104" s="1"/>
      <c r="Q104">
        <v>3.1E-2</v>
      </c>
      <c r="S104" s="57"/>
    </row>
    <row r="105" spans="1:19">
      <c r="A105" s="45">
        <v>41395</v>
      </c>
      <c r="B105">
        <v>47806.34</v>
      </c>
      <c r="C105">
        <v>2.81E-2</v>
      </c>
      <c r="D105">
        <f t="shared" si="4"/>
        <v>0.2649328272156275</v>
      </c>
      <c r="E105">
        <f t="shared" si="5"/>
        <v>4.6800000000000001E-2</v>
      </c>
      <c r="F105" s="49">
        <f t="shared" si="7"/>
        <v>0.17700636299604314</v>
      </c>
      <c r="H105" s="47"/>
      <c r="I105" s="47"/>
      <c r="J105" s="47"/>
      <c r="K105" s="1"/>
      <c r="Q105">
        <v>2.81E-2</v>
      </c>
      <c r="S105" s="57"/>
    </row>
    <row r="106" spans="1:19">
      <c r="A106" s="45">
        <v>41426</v>
      </c>
      <c r="B106">
        <v>44747.79</v>
      </c>
      <c r="C106">
        <v>2.5600000000000001E-2</v>
      </c>
      <c r="D106">
        <f t="shared" si="4"/>
        <v>9.6467167578841773E-2</v>
      </c>
      <c r="E106">
        <f t="shared" si="5"/>
        <v>4.9399999999999999E-2</v>
      </c>
      <c r="F106" s="49">
        <f t="shared" si="7"/>
        <v>7.6203633880638388E-2</v>
      </c>
      <c r="H106" s="47"/>
      <c r="I106" s="47"/>
      <c r="J106" s="47"/>
      <c r="K106" s="1"/>
      <c r="Q106">
        <v>2.5600000000000001E-2</v>
      </c>
      <c r="S106" s="57"/>
    </row>
    <row r="107" spans="1:19">
      <c r="A107" s="45">
        <v>41456</v>
      </c>
      <c r="B107">
        <v>46925.65</v>
      </c>
      <c r="C107">
        <v>2.47E-2</v>
      </c>
      <c r="D107">
        <f t="shared" si="4"/>
        <v>0.16835362891710481</v>
      </c>
      <c r="E107">
        <f t="shared" si="5"/>
        <v>4.9200000000000001E-2</v>
      </c>
      <c r="F107" s="49">
        <f t="shared" si="7"/>
        <v>0.11956217735026289</v>
      </c>
      <c r="H107" s="47"/>
      <c r="I107" s="47"/>
      <c r="J107" s="47"/>
      <c r="K107" s="1"/>
      <c r="Q107">
        <v>2.47E-2</v>
      </c>
      <c r="S107" s="57"/>
    </row>
    <row r="108" spans="1:19">
      <c r="A108" s="45">
        <v>41487</v>
      </c>
      <c r="B108">
        <v>48871.98</v>
      </c>
      <c r="C108">
        <v>2.4199999999999999E-2</v>
      </c>
      <c r="D108">
        <f t="shared" si="4"/>
        <v>0.17555408400096506</v>
      </c>
      <c r="E108">
        <f t="shared" si="5"/>
        <v>4.82E-2</v>
      </c>
      <c r="F108" s="49">
        <f t="shared" si="7"/>
        <v>0.12404578373391237</v>
      </c>
      <c r="H108" s="47"/>
      <c r="I108" s="47"/>
      <c r="J108" s="47"/>
      <c r="K108" s="1"/>
      <c r="Q108">
        <v>2.4199999999999999E-2</v>
      </c>
      <c r="S108" s="57"/>
    </row>
    <row r="109" spans="1:19">
      <c r="A109" s="45">
        <v>41518</v>
      </c>
      <c r="B109">
        <v>50301.85</v>
      </c>
      <c r="C109">
        <v>2.5000000000000001E-2</v>
      </c>
      <c r="D109">
        <f t="shared" si="4"/>
        <v>0.15002442854690035</v>
      </c>
      <c r="E109">
        <f t="shared" si="5"/>
        <v>4.7800000000000002E-2</v>
      </c>
      <c r="F109" s="49">
        <f t="shared" si="7"/>
        <v>0.10886799046147354</v>
      </c>
      <c r="H109" s="47"/>
      <c r="I109" s="47"/>
      <c r="J109" s="47"/>
      <c r="K109" s="1"/>
      <c r="Q109">
        <v>2.5000000000000001E-2</v>
      </c>
      <c r="S109" s="57"/>
    </row>
    <row r="110" spans="1:19">
      <c r="A110" s="45">
        <v>41548</v>
      </c>
      <c r="B110">
        <v>53607.86</v>
      </c>
      <c r="C110">
        <v>2.5499999999999998E-2</v>
      </c>
      <c r="D110">
        <f t="shared" si="4"/>
        <v>0.23999154338732676</v>
      </c>
      <c r="E110">
        <f t="shared" si="5"/>
        <v>4.7699999999999999E-2</v>
      </c>
      <c r="F110" s="49">
        <f t="shared" si="7"/>
        <v>0.16294825936572938</v>
      </c>
      <c r="H110" s="47"/>
      <c r="I110" s="47"/>
      <c r="J110" s="47"/>
      <c r="K110" s="1"/>
      <c r="Q110">
        <v>2.5499999999999998E-2</v>
      </c>
      <c r="S110" s="57"/>
    </row>
    <row r="111" spans="1:19">
      <c r="A111" s="45">
        <v>41579</v>
      </c>
      <c r="B111">
        <v>54704.89</v>
      </c>
      <c r="C111">
        <v>2.5600000000000001E-2</v>
      </c>
      <c r="D111">
        <f t="shared" si="4"/>
        <v>0.21526615504165969</v>
      </c>
      <c r="E111">
        <f t="shared" si="5"/>
        <v>4.4900000000000002E-2</v>
      </c>
      <c r="F111" s="49">
        <f t="shared" si="7"/>
        <v>0.14806635969166249</v>
      </c>
      <c r="H111" s="47"/>
      <c r="I111" s="47"/>
      <c r="J111" s="47"/>
      <c r="K111" s="1"/>
      <c r="Q111">
        <v>2.5600000000000001E-2</v>
      </c>
      <c r="S111" s="57"/>
    </row>
    <row r="112" spans="1:19" s="49" customFormat="1">
      <c r="A112" s="48">
        <v>41609</v>
      </c>
      <c r="B112" s="49">
        <v>51284.25</v>
      </c>
      <c r="C112" s="49">
        <v>2.5899999999999999E-2</v>
      </c>
      <c r="D112" s="49">
        <f t="shared" si="4"/>
        <v>8.0564948729040298E-2</v>
      </c>
      <c r="E112" s="49">
        <f t="shared" si="5"/>
        <v>4.2200000000000001E-2</v>
      </c>
      <c r="F112" s="49">
        <f t="shared" si="7"/>
        <v>6.7075635904090852E-2</v>
      </c>
      <c r="H112" s="50"/>
      <c r="I112" s="50">
        <f>$I$2*(1+D112)</f>
        <v>129667.79384748483</v>
      </c>
      <c r="J112" s="50">
        <f>$J$2*(1+E112)</f>
        <v>83376</v>
      </c>
      <c r="K112" s="51">
        <f t="shared" si="6"/>
        <v>213043.79384748483</v>
      </c>
      <c r="L112" s="51">
        <f>K112-$I$3</f>
        <v>13043.793847484834</v>
      </c>
      <c r="M112" s="1">
        <f>((J112-MIN(J112,$K$2))+(I112-MIN(I112,MAX($L$2-MIN(J112,$K$2),0))))*R112</f>
        <v>1024.5159036397552</v>
      </c>
      <c r="N112" s="51">
        <f>IF(L112&gt;0,0.19*L112,0)</f>
        <v>2478.3208310221185</v>
      </c>
      <c r="O112" s="53">
        <f>K112-M112</f>
        <v>212019.27794384508</v>
      </c>
      <c r="P112" s="53">
        <f>K112-N112</f>
        <v>210565.47301646273</v>
      </c>
      <c r="Q112">
        <v>2.5899999999999999E-2</v>
      </c>
      <c r="R112">
        <f>MAX(0.19*Q98,0.1%)</f>
        <v>9.0629999999999999E-3</v>
      </c>
      <c r="S112" s="56">
        <f>O112-P112</f>
        <v>1453.8049273823563</v>
      </c>
    </row>
    <row r="113" spans="1:19">
      <c r="A113" s="45">
        <v>41640</v>
      </c>
      <c r="B113">
        <v>50831.61</v>
      </c>
      <c r="C113">
        <v>2.5499999999999998E-2</v>
      </c>
      <c r="D113">
        <f t="shared" si="4"/>
        <v>8.5214500807533788E-2</v>
      </c>
      <c r="E113">
        <f t="shared" si="5"/>
        <v>3.9600000000000003E-2</v>
      </c>
      <c r="F113" s="49">
        <f t="shared" si="7"/>
        <v>6.9595367151186943E-2</v>
      </c>
      <c r="H113" s="47"/>
      <c r="I113" s="47"/>
      <c r="J113" s="47"/>
      <c r="K113" s="1"/>
      <c r="Q113">
        <v>2.5499999999999998E-2</v>
      </c>
      <c r="S113" s="57"/>
    </row>
    <row r="114" spans="1:19">
      <c r="A114" s="45">
        <v>41671</v>
      </c>
      <c r="B114">
        <v>53811.3</v>
      </c>
      <c r="C114">
        <v>2.58E-2</v>
      </c>
      <c r="D114">
        <f t="shared" si="4"/>
        <v>0.16272431761550687</v>
      </c>
      <c r="E114">
        <f t="shared" si="5"/>
        <v>3.7499999999999999E-2</v>
      </c>
      <c r="F114" s="49">
        <f t="shared" si="7"/>
        <v>0.11579792390263746</v>
      </c>
      <c r="H114" s="47"/>
      <c r="I114" s="47"/>
      <c r="J114" s="47"/>
      <c r="K114" s="1"/>
      <c r="Q114">
        <v>2.58E-2</v>
      </c>
      <c r="S114" s="57"/>
    </row>
    <row r="115" spans="1:19">
      <c r="A115" s="45">
        <v>41699</v>
      </c>
      <c r="B115">
        <v>52373.47</v>
      </c>
      <c r="C115">
        <v>2.6100000000000002E-2</v>
      </c>
      <c r="D115">
        <f t="shared" si="4"/>
        <v>0.1600506959732273</v>
      </c>
      <c r="E115">
        <f t="shared" si="5"/>
        <v>3.3399999999999999E-2</v>
      </c>
      <c r="F115" s="49">
        <f t="shared" si="7"/>
        <v>0.11378041758393638</v>
      </c>
      <c r="H115" s="47"/>
      <c r="I115" s="47"/>
      <c r="J115" s="47"/>
      <c r="K115" s="1"/>
      <c r="Q115">
        <v>2.6100000000000002E-2</v>
      </c>
      <c r="S115" s="57"/>
    </row>
    <row r="116" spans="1:19">
      <c r="A116" s="45">
        <v>41730</v>
      </c>
      <c r="B116">
        <v>51892.77</v>
      </c>
      <c r="C116">
        <v>2.64E-2</v>
      </c>
      <c r="D116">
        <f t="shared" si="4"/>
        <v>0.17505000885372946</v>
      </c>
      <c r="E116">
        <f t="shared" si="5"/>
        <v>3.1E-2</v>
      </c>
      <c r="F116" s="49">
        <f t="shared" si="7"/>
        <v>0.12228667197890435</v>
      </c>
      <c r="H116" s="47"/>
      <c r="I116" s="47"/>
      <c r="J116" s="47"/>
      <c r="K116" s="1"/>
      <c r="Q116">
        <v>2.64E-2</v>
      </c>
      <c r="S116" s="57"/>
    </row>
    <row r="117" spans="1:19">
      <c r="A117" s="45">
        <v>41760</v>
      </c>
      <c r="B117">
        <v>52066.97</v>
      </c>
      <c r="C117">
        <v>2.63E-2</v>
      </c>
      <c r="D117">
        <f t="shared" si="4"/>
        <v>8.9122697951778074E-2</v>
      </c>
      <c r="E117">
        <f t="shared" si="5"/>
        <v>2.81E-2</v>
      </c>
      <c r="F117" s="49">
        <f t="shared" si="7"/>
        <v>7.0106952104400183E-2</v>
      </c>
      <c r="H117" s="47"/>
      <c r="I117" s="47"/>
      <c r="J117" s="47"/>
      <c r="K117" s="1"/>
      <c r="Q117">
        <v>2.63E-2</v>
      </c>
      <c r="S117" s="57"/>
    </row>
    <row r="118" spans="1:19">
      <c r="A118" s="45">
        <v>41791</v>
      </c>
      <c r="B118">
        <v>51934.94</v>
      </c>
      <c r="C118">
        <v>2.6200000000000001E-2</v>
      </c>
      <c r="D118">
        <f t="shared" si="4"/>
        <v>0.16061463594067993</v>
      </c>
      <c r="E118">
        <f t="shared" si="5"/>
        <v>2.5600000000000001E-2</v>
      </c>
      <c r="F118" s="49">
        <f t="shared" si="7"/>
        <v>0.11220878156440796</v>
      </c>
      <c r="H118" s="47"/>
      <c r="I118" s="47"/>
      <c r="J118" s="47"/>
      <c r="K118" s="1"/>
      <c r="Q118">
        <v>2.6200000000000001E-2</v>
      </c>
      <c r="S118" s="57"/>
    </row>
    <row r="119" spans="1:19">
      <c r="A119" s="45">
        <v>41821</v>
      </c>
      <c r="B119">
        <v>50037.120000000003</v>
      </c>
      <c r="C119">
        <v>2.63E-2</v>
      </c>
      <c r="D119">
        <f t="shared" si="4"/>
        <v>6.6306380412418431E-2</v>
      </c>
      <c r="E119">
        <f t="shared" si="5"/>
        <v>2.47E-2</v>
      </c>
      <c r="F119" s="49">
        <f t="shared" si="7"/>
        <v>5.4807161580784393E-2</v>
      </c>
      <c r="H119" s="47"/>
      <c r="I119" s="47"/>
      <c r="J119" s="47"/>
      <c r="K119" s="1"/>
      <c r="Q119">
        <v>2.63E-2</v>
      </c>
      <c r="S119" s="57"/>
    </row>
    <row r="120" spans="1:19">
      <c r="A120" s="45">
        <v>41852</v>
      </c>
      <c r="B120">
        <v>51868.77</v>
      </c>
      <c r="C120">
        <v>2.7E-2</v>
      </c>
      <c r="D120">
        <f t="shared" si="4"/>
        <v>6.1319185349150818E-2</v>
      </c>
      <c r="E120">
        <f t="shared" si="5"/>
        <v>2.4199999999999999E-2</v>
      </c>
      <c r="F120" s="49">
        <f t="shared" si="7"/>
        <v>5.1014844542823817E-2</v>
      </c>
      <c r="H120" s="47"/>
      <c r="I120" s="47"/>
      <c r="J120" s="47"/>
      <c r="K120" s="1"/>
      <c r="Q120">
        <v>2.7E-2</v>
      </c>
      <c r="S120" s="57"/>
    </row>
    <row r="121" spans="1:19">
      <c r="A121" s="45">
        <v>41883</v>
      </c>
      <c r="B121">
        <v>54878.58</v>
      </c>
      <c r="C121">
        <v>2.7799999999999998E-2</v>
      </c>
      <c r="D121">
        <f t="shared" si="4"/>
        <v>9.0985321613419767E-2</v>
      </c>
      <c r="E121">
        <f t="shared" si="5"/>
        <v>2.5000000000000001E-2</v>
      </c>
      <c r="F121" s="49">
        <f t="shared" si="7"/>
        <v>6.8054526301385199E-2</v>
      </c>
      <c r="H121" s="47"/>
      <c r="I121" s="47"/>
      <c r="J121" s="47"/>
      <c r="K121" s="1"/>
      <c r="Q121">
        <v>2.7799999999999998E-2</v>
      </c>
      <c r="S121" s="57"/>
    </row>
    <row r="122" spans="1:19">
      <c r="A122" s="45">
        <v>41913</v>
      </c>
      <c r="B122">
        <v>53949.58</v>
      </c>
      <c r="C122">
        <v>2.5000000000000001E-2</v>
      </c>
      <c r="D122">
        <f t="shared" si="4"/>
        <v>6.3744383752681877E-3</v>
      </c>
      <c r="E122">
        <f t="shared" si="5"/>
        <v>2.5499999999999998E-2</v>
      </c>
      <c r="F122" s="49">
        <f t="shared" si="7"/>
        <v>1.6547996358494247E-2</v>
      </c>
      <c r="H122" s="47"/>
      <c r="I122" s="47"/>
      <c r="J122" s="47"/>
      <c r="K122" s="1"/>
      <c r="Q122">
        <v>2.5000000000000001E-2</v>
      </c>
      <c r="S122" s="57"/>
    </row>
    <row r="123" spans="1:19">
      <c r="A123" s="45">
        <v>41944</v>
      </c>
      <c r="B123">
        <v>53247.07</v>
      </c>
      <c r="C123">
        <v>2.23E-2</v>
      </c>
      <c r="D123">
        <f t="shared" si="4"/>
        <v>-2.6648805984254786E-2</v>
      </c>
      <c r="E123">
        <f t="shared" si="5"/>
        <v>2.5600000000000001E-2</v>
      </c>
      <c r="F123" s="49">
        <f t="shared" si="7"/>
        <v>-3.9092835905528683E-3</v>
      </c>
      <c r="H123" s="47"/>
      <c r="I123" s="47"/>
      <c r="J123" s="47"/>
      <c r="K123" s="1"/>
      <c r="Q123">
        <v>2.23E-2</v>
      </c>
      <c r="S123" s="57"/>
    </row>
    <row r="124" spans="1:19" s="49" customFormat="1">
      <c r="A124" s="48">
        <v>41974</v>
      </c>
      <c r="B124" s="49">
        <v>51416.08</v>
      </c>
      <c r="C124" s="49">
        <v>2.3099999999999999E-2</v>
      </c>
      <c r="D124" s="49">
        <f t="shared" si="4"/>
        <v>2.5705747866060502E-3</v>
      </c>
      <c r="E124" s="49">
        <f t="shared" si="5"/>
        <v>2.5899999999999999E-2</v>
      </c>
      <c r="F124" s="49">
        <f t="shared" si="7"/>
        <v>1.30790115386303E-2</v>
      </c>
      <c r="H124" s="50"/>
      <c r="I124" s="50">
        <f>$I$2*(1+D124)</f>
        <v>120308.46897439273</v>
      </c>
      <c r="J124" s="50">
        <f>$J$2*(1+E124)</f>
        <v>82072</v>
      </c>
      <c r="K124" s="51">
        <f t="shared" si="6"/>
        <v>202380.46897439274</v>
      </c>
      <c r="L124" s="51">
        <f>K124-$I$3</f>
        <v>2380.4689743927447</v>
      </c>
      <c r="M124" s="1">
        <f>((J124-MIN(J124,$K$2))+(I124-MIN(I124,MAX($L$2-MIN(J124,$K$2),0))))*R124</f>
        <v>496.0333721809327</v>
      </c>
      <c r="N124" s="51">
        <f>IF(L124&gt;0,0.19*L124,0)</f>
        <v>452.28910513462148</v>
      </c>
      <c r="O124" s="53">
        <f>K124-M124</f>
        <v>201884.4356022118</v>
      </c>
      <c r="P124" s="53">
        <f>K124-N124</f>
        <v>201928.17986925814</v>
      </c>
      <c r="Q124">
        <v>2.3099999999999999E-2</v>
      </c>
      <c r="R124">
        <f>MAX(0.19*Q110,0.1%)</f>
        <v>4.8449999999999995E-3</v>
      </c>
      <c r="S124" s="56">
        <f>O124-P124</f>
        <v>-43.744267046335153</v>
      </c>
    </row>
    <row r="125" spans="1:19">
      <c r="A125" s="45">
        <v>42005</v>
      </c>
      <c r="B125">
        <v>52102.39</v>
      </c>
      <c r="C125">
        <v>2.2499999999999999E-2</v>
      </c>
      <c r="D125">
        <f t="shared" si="4"/>
        <v>2.4999798353819491E-2</v>
      </c>
      <c r="E125">
        <f t="shared" si="5"/>
        <v>2.5499999999999998E-2</v>
      </c>
      <c r="F125" s="49">
        <f t="shared" si="7"/>
        <v>2.6066545678958365E-2</v>
      </c>
      <c r="H125" s="47"/>
      <c r="I125" s="47"/>
      <c r="J125" s="47"/>
      <c r="K125" s="1"/>
      <c r="Q125">
        <v>2.2499999999999999E-2</v>
      </c>
      <c r="S125" s="57"/>
    </row>
    <row r="126" spans="1:19">
      <c r="A126" s="45">
        <v>42036</v>
      </c>
      <c r="B126">
        <v>53304.21</v>
      </c>
      <c r="C126">
        <v>2.2700000000000001E-2</v>
      </c>
      <c r="D126">
        <f t="shared" si="4"/>
        <v>-9.4234854017650749E-3</v>
      </c>
      <c r="E126">
        <f t="shared" si="5"/>
        <v>2.58E-2</v>
      </c>
      <c r="F126" s="49">
        <f t="shared" si="7"/>
        <v>5.0225754256076225E-3</v>
      </c>
      <c r="H126" s="47"/>
      <c r="I126" s="47"/>
      <c r="J126" s="47"/>
      <c r="K126" s="1"/>
      <c r="Q126">
        <v>2.2700000000000001E-2</v>
      </c>
      <c r="S126" s="57"/>
    </row>
    <row r="127" spans="1:19">
      <c r="A127" s="45">
        <v>42064</v>
      </c>
      <c r="B127">
        <v>54091.32</v>
      </c>
      <c r="C127">
        <v>2.0899999999999998E-2</v>
      </c>
      <c r="D127">
        <f t="shared" si="4"/>
        <v>3.2800003513229203E-2</v>
      </c>
      <c r="E127">
        <f t="shared" si="5"/>
        <v>2.6100000000000002E-2</v>
      </c>
      <c r="F127" s="49">
        <f t="shared" si="7"/>
        <v>3.0113335441270858E-2</v>
      </c>
      <c r="H127" s="47"/>
      <c r="I127" s="47"/>
      <c r="J127" s="47"/>
      <c r="K127" s="1"/>
      <c r="Q127">
        <v>2.0899999999999998E-2</v>
      </c>
      <c r="S127" s="57"/>
    </row>
    <row r="128" spans="1:19">
      <c r="A128" s="45">
        <v>42095</v>
      </c>
      <c r="B128">
        <v>56477.69</v>
      </c>
      <c r="C128">
        <v>1.9099999999999999E-2</v>
      </c>
      <c r="D128">
        <f t="shared" si="4"/>
        <v>8.8353734055823363E-2</v>
      </c>
      <c r="E128">
        <f t="shared" si="5"/>
        <v>2.64E-2</v>
      </c>
      <c r="F128" s="49">
        <f t="shared" si="7"/>
        <v>6.3292240433494018E-2</v>
      </c>
      <c r="H128" s="47"/>
      <c r="I128" s="47"/>
      <c r="J128" s="47"/>
      <c r="K128" s="1"/>
      <c r="Q128">
        <v>1.9099999999999999E-2</v>
      </c>
      <c r="S128" s="57"/>
    </row>
    <row r="129" spans="1:19">
      <c r="A129" s="45">
        <v>42125</v>
      </c>
      <c r="B129">
        <v>55531.79</v>
      </c>
      <c r="C129">
        <v>1.78E-2</v>
      </c>
      <c r="D129">
        <f t="shared" si="4"/>
        <v>6.6545450983608312E-2</v>
      </c>
      <c r="E129">
        <f t="shared" si="5"/>
        <v>2.63E-2</v>
      </c>
      <c r="F129" s="49">
        <f t="shared" si="7"/>
        <v>5.0147270590164987E-2</v>
      </c>
      <c r="H129" s="47"/>
      <c r="I129" s="47"/>
      <c r="J129" s="47"/>
      <c r="K129" s="1"/>
      <c r="Q129">
        <v>1.78E-2</v>
      </c>
      <c r="S129" s="57"/>
    </row>
    <row r="130" spans="1:19">
      <c r="A130" s="45">
        <v>42156</v>
      </c>
      <c r="B130">
        <v>53328.98</v>
      </c>
      <c r="C130">
        <v>1.7399999999999999E-2</v>
      </c>
      <c r="D130">
        <f t="shared" si="4"/>
        <v>2.6842045066385101E-2</v>
      </c>
      <c r="E130">
        <f t="shared" si="5"/>
        <v>2.6200000000000001E-2</v>
      </c>
      <c r="F130" s="49">
        <f t="shared" si="7"/>
        <v>2.6345227039831057E-2</v>
      </c>
      <c r="H130" s="47"/>
      <c r="I130" s="47"/>
      <c r="J130" s="47"/>
      <c r="K130" s="1"/>
      <c r="Q130">
        <v>1.7399999999999999E-2</v>
      </c>
      <c r="S130" s="57"/>
    </row>
    <row r="131" spans="1:19">
      <c r="A131" s="45">
        <v>42186</v>
      </c>
      <c r="B131">
        <v>52750.94</v>
      </c>
      <c r="C131">
        <v>1.77E-2</v>
      </c>
      <c r="D131">
        <f t="shared" si="4"/>
        <v>5.4236135093306714E-2</v>
      </c>
      <c r="E131">
        <f t="shared" si="5"/>
        <v>2.63E-2</v>
      </c>
      <c r="F131" s="49">
        <f t="shared" si="7"/>
        <v>4.2835014389317361E-2</v>
      </c>
      <c r="H131" s="47"/>
      <c r="I131" s="47"/>
      <c r="J131" s="47"/>
      <c r="K131" s="1"/>
      <c r="Q131">
        <v>1.77E-2</v>
      </c>
      <c r="S131" s="57"/>
    </row>
    <row r="132" spans="1:19">
      <c r="A132" s="45">
        <v>42217</v>
      </c>
      <c r="B132">
        <v>51280.38</v>
      </c>
      <c r="C132">
        <v>1.7500000000000002E-2</v>
      </c>
      <c r="D132">
        <f t="shared" si="4"/>
        <v>-1.1343820183127518E-2</v>
      </c>
      <c r="E132">
        <f t="shared" si="5"/>
        <v>2.7E-2</v>
      </c>
      <c r="F132" s="49">
        <f t="shared" si="7"/>
        <v>3.5803745567901573E-3</v>
      </c>
      <c r="H132" s="47"/>
      <c r="I132" s="47"/>
      <c r="J132" s="47"/>
      <c r="K132" s="1"/>
      <c r="Q132">
        <v>1.7500000000000002E-2</v>
      </c>
      <c r="S132" s="57"/>
    </row>
    <row r="133" spans="1:19">
      <c r="A133" s="45">
        <v>42248</v>
      </c>
      <c r="B133">
        <v>49824.59</v>
      </c>
      <c r="C133">
        <v>1.7399999999999999E-2</v>
      </c>
      <c r="D133">
        <f t="shared" si="4"/>
        <v>-9.2094037418606778E-2</v>
      </c>
      <c r="E133">
        <f t="shared" si="5"/>
        <v>2.7799999999999998E-2</v>
      </c>
      <c r="F133" s="49">
        <f t="shared" si="7"/>
        <v>-4.4776422451164061E-2</v>
      </c>
      <c r="H133" s="47"/>
      <c r="I133" s="47"/>
      <c r="J133" s="47"/>
      <c r="K133" s="1"/>
      <c r="Q133">
        <v>1.7399999999999999E-2</v>
      </c>
      <c r="S133" s="57"/>
    </row>
    <row r="134" spans="1:19">
      <c r="A134" s="45">
        <v>42278</v>
      </c>
      <c r="B134">
        <v>50271.65</v>
      </c>
      <c r="C134">
        <v>1.7500000000000002E-2</v>
      </c>
      <c r="D134">
        <f t="shared" si="4"/>
        <v>-6.8173468634973644E-2</v>
      </c>
      <c r="E134">
        <f t="shared" si="5"/>
        <v>2.5000000000000001E-2</v>
      </c>
      <c r="F134" s="49">
        <f t="shared" si="7"/>
        <v>-3.0440747847650853E-2</v>
      </c>
      <c r="H134" s="47"/>
      <c r="I134" s="47"/>
      <c r="J134" s="47"/>
      <c r="K134" s="1"/>
      <c r="Q134">
        <v>1.7500000000000002E-2</v>
      </c>
      <c r="S134" s="57"/>
    </row>
    <row r="135" spans="1:19">
      <c r="A135" s="45">
        <v>42309</v>
      </c>
      <c r="B135">
        <v>47915.91</v>
      </c>
      <c r="C135">
        <v>1.77E-2</v>
      </c>
      <c r="D135">
        <f t="shared" si="4"/>
        <v>-0.10012118976687345</v>
      </c>
      <c r="E135">
        <f t="shared" si="5"/>
        <v>2.23E-2</v>
      </c>
      <c r="F135" s="49">
        <f t="shared" si="7"/>
        <v>-4.9719380526790737E-2</v>
      </c>
      <c r="H135" s="47"/>
      <c r="I135" s="47"/>
      <c r="J135" s="47"/>
      <c r="K135" s="1"/>
      <c r="Q135">
        <v>1.77E-2</v>
      </c>
      <c r="S135" s="57"/>
    </row>
    <row r="136" spans="1:19" s="49" customFormat="1">
      <c r="A136" s="48">
        <v>42339</v>
      </c>
      <c r="B136" s="49">
        <v>46467.38</v>
      </c>
      <c r="C136" s="49">
        <v>1.7600000000000001E-2</v>
      </c>
      <c r="D136" s="49">
        <f t="shared" si="4"/>
        <v>-9.6248099816244381E-2</v>
      </c>
      <c r="E136" s="49">
        <f t="shared" si="5"/>
        <v>2.3099999999999999E-2</v>
      </c>
      <c r="F136" s="49">
        <f t="shared" si="7"/>
        <v>-4.7488859889746625E-2</v>
      </c>
      <c r="H136" s="50"/>
      <c r="I136" s="50">
        <f>$I$2*(1+D136)</f>
        <v>108450.22802205068</v>
      </c>
      <c r="J136" s="50">
        <f>$J$2*(1+E136)</f>
        <v>81847.999999999985</v>
      </c>
      <c r="K136" s="51">
        <f t="shared" si="6"/>
        <v>190298.22802205067</v>
      </c>
      <c r="L136" s="51">
        <f>K136-$I$3</f>
        <v>-9701.7719779493345</v>
      </c>
      <c r="M136" s="1">
        <f>((J136-MIN(J136,$K$2))+(I136-MIN(I136,MAX($L$2-MIN(J136,$K$2),0))))*R136</f>
        <v>428.91658310474071</v>
      </c>
      <c r="N136" s="51">
        <f>IF(L136&gt;0,0.19*L136,0)</f>
        <v>0</v>
      </c>
      <c r="O136" s="53">
        <f>K136-M136</f>
        <v>189869.31143894594</v>
      </c>
      <c r="P136" s="53">
        <f>K136-N136</f>
        <v>190298.22802205067</v>
      </c>
      <c r="Q136">
        <v>1.7600000000000001E-2</v>
      </c>
      <c r="R136">
        <f>MAX(0.19*Q122,0.1%)</f>
        <v>4.7500000000000007E-3</v>
      </c>
      <c r="S136" s="56">
        <f>O136-P136</f>
        <v>-428.91658310472849</v>
      </c>
    </row>
    <row r="137" spans="1:19">
      <c r="A137" s="45">
        <v>42370</v>
      </c>
      <c r="B137">
        <v>44290.05</v>
      </c>
      <c r="C137">
        <v>1.7100000000000001E-2</v>
      </c>
      <c r="D137">
        <f t="shared" si="4"/>
        <v>-0.14994206599735627</v>
      </c>
      <c r="E137">
        <f t="shared" si="5"/>
        <v>2.2499999999999999E-2</v>
      </c>
      <c r="F137" s="49">
        <f t="shared" si="7"/>
        <v>-7.9805239598413749E-2</v>
      </c>
      <c r="H137" s="47"/>
      <c r="I137" s="47"/>
      <c r="J137" s="47"/>
      <c r="K137" s="1"/>
      <c r="Q137">
        <v>1.7100000000000001E-2</v>
      </c>
      <c r="S137" s="57"/>
    </row>
    <row r="138" spans="1:19">
      <c r="A138" s="45">
        <v>42401</v>
      </c>
      <c r="B138">
        <v>45430.29</v>
      </c>
      <c r="C138">
        <v>1.67E-2</v>
      </c>
      <c r="D138">
        <f t="shared" si="4"/>
        <v>-0.14771666253003279</v>
      </c>
      <c r="E138">
        <f t="shared" si="5"/>
        <v>2.2700000000000001E-2</v>
      </c>
      <c r="F138" s="49">
        <f t="shared" si="7"/>
        <v>-7.8573330851352999E-2</v>
      </c>
      <c r="H138" s="47"/>
      <c r="I138" s="47"/>
      <c r="J138" s="47"/>
      <c r="K138" s="1"/>
      <c r="Q138">
        <v>1.67E-2</v>
      </c>
      <c r="S138" s="57"/>
    </row>
    <row r="139" spans="1:19">
      <c r="A139" s="45">
        <v>42430</v>
      </c>
      <c r="B139">
        <v>49017.35</v>
      </c>
      <c r="C139">
        <v>1.61E-2</v>
      </c>
      <c r="D139">
        <f t="shared" si="4"/>
        <v>-9.3803774801576312E-2</v>
      </c>
      <c r="E139">
        <f t="shared" si="5"/>
        <v>2.0899999999999998E-2</v>
      </c>
      <c r="F139" s="49">
        <f t="shared" si="7"/>
        <v>-4.6398931547612453E-2</v>
      </c>
      <c r="H139" s="47"/>
      <c r="I139" s="47"/>
      <c r="J139" s="47"/>
      <c r="K139" s="1"/>
      <c r="Q139">
        <v>1.61E-2</v>
      </c>
      <c r="S139" s="57"/>
    </row>
    <row r="140" spans="1:19">
      <c r="A140" s="45">
        <v>42461</v>
      </c>
      <c r="B140">
        <v>47641.99</v>
      </c>
      <c r="C140">
        <v>1.5699999999999999E-2</v>
      </c>
      <c r="D140">
        <f t="shared" si="4"/>
        <v>-0.15644584613853729</v>
      </c>
      <c r="E140">
        <f t="shared" si="5"/>
        <v>1.9099999999999999E-2</v>
      </c>
      <c r="F140" s="49">
        <f t="shared" si="7"/>
        <v>-8.4227507683122371E-2</v>
      </c>
      <c r="H140" s="47"/>
      <c r="I140" s="47"/>
      <c r="J140" s="47"/>
      <c r="K140" s="1"/>
      <c r="Q140">
        <v>1.5699999999999999E-2</v>
      </c>
      <c r="S140" s="57"/>
    </row>
    <row r="141" spans="1:19">
      <c r="A141" s="45">
        <v>42491</v>
      </c>
      <c r="B141">
        <v>45844.15</v>
      </c>
      <c r="C141">
        <v>1.5299999999999999E-2</v>
      </c>
      <c r="D141">
        <f t="shared" si="4"/>
        <v>-0.1744521471395033</v>
      </c>
      <c r="E141">
        <f t="shared" si="5"/>
        <v>1.78E-2</v>
      </c>
      <c r="F141" s="49">
        <f t="shared" si="7"/>
        <v>-9.5314621617035314E-2</v>
      </c>
      <c r="H141" s="47"/>
      <c r="I141" s="47"/>
      <c r="J141" s="47"/>
      <c r="K141" s="1"/>
      <c r="Q141">
        <v>1.5299999999999999E-2</v>
      </c>
      <c r="S141" s="57"/>
    </row>
    <row r="142" spans="1:19">
      <c r="A142" s="45">
        <v>42522</v>
      </c>
      <c r="B142">
        <v>44748.53</v>
      </c>
      <c r="C142">
        <v>1.52E-2</v>
      </c>
      <c r="D142">
        <f t="shared" si="4"/>
        <v>-0.16089657068258201</v>
      </c>
      <c r="E142">
        <f t="shared" si="5"/>
        <v>1.7399999999999999E-2</v>
      </c>
      <c r="F142" s="49">
        <f t="shared" si="7"/>
        <v>-8.7474609076215862E-2</v>
      </c>
      <c r="H142" s="47"/>
      <c r="I142" s="47"/>
      <c r="J142" s="47"/>
      <c r="K142" s="1"/>
      <c r="Q142">
        <v>1.52E-2</v>
      </c>
      <c r="S142" s="57"/>
    </row>
    <row r="143" spans="1:19">
      <c r="A143" s="45">
        <v>42552</v>
      </c>
      <c r="B143">
        <v>46171.72</v>
      </c>
      <c r="C143">
        <v>1.6799999999999999E-2</v>
      </c>
      <c r="D143">
        <f t="shared" si="4"/>
        <v>-0.12472232722298415</v>
      </c>
      <c r="E143">
        <f t="shared" si="5"/>
        <v>1.77E-2</v>
      </c>
      <c r="F143" s="49">
        <f t="shared" si="7"/>
        <v>-6.6056729667123823E-2</v>
      </c>
      <c r="H143" s="47"/>
      <c r="I143" s="47"/>
      <c r="J143" s="47"/>
      <c r="K143" s="1"/>
      <c r="Q143">
        <v>1.6799999999999999E-2</v>
      </c>
      <c r="S143" s="57"/>
    </row>
    <row r="144" spans="1:19">
      <c r="A144" s="45">
        <v>42583</v>
      </c>
      <c r="B144">
        <v>47935.1</v>
      </c>
      <c r="C144">
        <v>1.61E-2</v>
      </c>
      <c r="D144">
        <f t="shared" si="4"/>
        <v>-6.5235086011453114E-2</v>
      </c>
      <c r="E144">
        <f t="shared" si="5"/>
        <v>1.7500000000000002E-2</v>
      </c>
      <c r="F144" s="49">
        <f t="shared" si="7"/>
        <v>-3.0681051606871866E-2</v>
      </c>
      <c r="H144" s="47"/>
      <c r="I144" s="47"/>
      <c r="J144" s="47"/>
      <c r="K144" s="1"/>
      <c r="Q144">
        <v>1.61E-2</v>
      </c>
      <c r="S144" s="57"/>
    </row>
    <row r="145" spans="1:19">
      <c r="A145" s="45">
        <v>42614</v>
      </c>
      <c r="B145">
        <v>47084.94</v>
      </c>
      <c r="C145">
        <v>1.6299999999999999E-2</v>
      </c>
      <c r="D145">
        <f t="shared" si="4"/>
        <v>-5.4985901539781779E-2</v>
      </c>
      <c r="E145">
        <f t="shared" si="5"/>
        <v>1.7399999999999999E-2</v>
      </c>
      <c r="F145" s="49">
        <f t="shared" si="7"/>
        <v>-2.4878207590535731E-2</v>
      </c>
      <c r="H145" s="47"/>
      <c r="I145" s="47"/>
      <c r="J145" s="47"/>
      <c r="K145" s="1"/>
      <c r="Q145">
        <v>1.6299999999999999E-2</v>
      </c>
      <c r="S145" s="57"/>
    </row>
    <row r="146" spans="1:19">
      <c r="A146" s="45">
        <v>42644</v>
      </c>
      <c r="B146">
        <v>49158.8</v>
      </c>
      <c r="C146">
        <v>1.6199999999999999E-2</v>
      </c>
      <c r="D146">
        <f t="shared" ref="D146:D209" si="8">B146/B134-1</f>
        <v>-2.2136731139717924E-2</v>
      </c>
      <c r="E146">
        <f t="shared" si="5"/>
        <v>1.7500000000000002E-2</v>
      </c>
      <c r="F146" s="49">
        <f t="shared" si="7"/>
        <v>-5.4187053504974204E-3</v>
      </c>
      <c r="H146" s="47"/>
      <c r="I146" s="47"/>
      <c r="J146" s="47"/>
      <c r="K146" s="1"/>
      <c r="Q146">
        <v>1.6199999999999999E-2</v>
      </c>
      <c r="S146" s="57"/>
    </row>
    <row r="147" spans="1:19">
      <c r="A147" s="45">
        <v>42675</v>
      </c>
      <c r="B147">
        <v>48618.64</v>
      </c>
      <c r="C147">
        <v>1.5599999999999999E-2</v>
      </c>
      <c r="D147">
        <f t="shared" si="8"/>
        <v>1.4665901158926076E-2</v>
      </c>
      <c r="E147">
        <f t="shared" ref="E147:E210" si="9">C135</f>
        <v>1.77E-2</v>
      </c>
      <c r="F147" s="49">
        <f t="shared" si="7"/>
        <v>1.6509540695355644E-2</v>
      </c>
      <c r="H147" s="47"/>
      <c r="I147" s="47"/>
      <c r="J147" s="47"/>
      <c r="K147" s="1"/>
      <c r="Q147">
        <v>1.5599999999999999E-2</v>
      </c>
      <c r="S147" s="57"/>
    </row>
    <row r="148" spans="1:19" s="49" customFormat="1">
      <c r="A148" s="48">
        <v>42705</v>
      </c>
      <c r="B148" s="49">
        <v>51754.03</v>
      </c>
      <c r="C148" s="49">
        <v>1.49E-2</v>
      </c>
      <c r="D148" s="49">
        <f t="shared" si="8"/>
        <v>0.11377120896422399</v>
      </c>
      <c r="E148" s="49">
        <f t="shared" si="9"/>
        <v>1.7600000000000001E-2</v>
      </c>
      <c r="F148" s="49">
        <f t="shared" si="7"/>
        <v>7.5789392045201062E-2</v>
      </c>
      <c r="H148" s="50"/>
      <c r="I148" s="50">
        <f>$I$2*(1+D148)</f>
        <v>133652.54507570688</v>
      </c>
      <c r="J148" s="50">
        <f>$J$2*(1+E148)</f>
        <v>81408</v>
      </c>
      <c r="K148" s="51">
        <f t="shared" ref="K148:K208" si="10">I148+J148</f>
        <v>215060.54507570688</v>
      </c>
      <c r="L148" s="51">
        <f>K148-$I$3</f>
        <v>15060.545075706876</v>
      </c>
      <c r="M148" s="1">
        <f>((J148-MIN(J148,$K$2))+(I148-MIN(I148,MAX($L$2-MIN(J148,$K$2),0))))*R148</f>
        <v>382.57631237672541</v>
      </c>
      <c r="N148" s="51">
        <f>IF(L148&gt;0,0.19*L148,0)</f>
        <v>2861.5035643843066</v>
      </c>
      <c r="O148" s="53">
        <f>K148-M148</f>
        <v>214677.96876333014</v>
      </c>
      <c r="P148" s="53">
        <f>K148-N148</f>
        <v>212199.04151132258</v>
      </c>
      <c r="Q148">
        <v>1.49E-2</v>
      </c>
      <c r="R148">
        <f>MAX(0.19*Q134,0.1%)</f>
        <v>3.3250000000000003E-3</v>
      </c>
      <c r="S148" s="56">
        <f>O148-P148</f>
        <v>2478.927252007561</v>
      </c>
    </row>
    <row r="149" spans="1:19">
      <c r="A149" s="45">
        <v>42736</v>
      </c>
      <c r="B149">
        <v>55232.32</v>
      </c>
      <c r="C149">
        <v>1.4999999999999999E-2</v>
      </c>
      <c r="D149">
        <f t="shared" si="8"/>
        <v>0.24705932822383359</v>
      </c>
      <c r="E149">
        <f t="shared" si="9"/>
        <v>1.7100000000000001E-2</v>
      </c>
      <c r="F149" s="49">
        <f t="shared" si="7"/>
        <v>0.1555822636009668</v>
      </c>
      <c r="H149" s="47"/>
      <c r="I149" s="47"/>
      <c r="J149" s="47"/>
      <c r="K149" s="1"/>
      <c r="Q149">
        <v>1.4999999999999999E-2</v>
      </c>
      <c r="S149" s="57"/>
    </row>
    <row r="150" spans="1:19">
      <c r="A150" s="45">
        <v>42767</v>
      </c>
      <c r="B150">
        <v>58300.37</v>
      </c>
      <c r="C150">
        <v>1.4999999999999999E-2</v>
      </c>
      <c r="D150">
        <f t="shared" si="8"/>
        <v>0.28329293077371953</v>
      </c>
      <c r="E150">
        <f t="shared" si="9"/>
        <v>1.67E-2</v>
      </c>
      <c r="F150" s="49">
        <f t="shared" si="7"/>
        <v>0.17712242513089838</v>
      </c>
      <c r="H150" s="47"/>
      <c r="I150" s="47"/>
      <c r="J150" s="47"/>
      <c r="K150" s="1"/>
      <c r="Q150">
        <v>1.4999999999999999E-2</v>
      </c>
      <c r="S150" s="57"/>
    </row>
    <row r="151" spans="1:19">
      <c r="A151" s="45">
        <v>42795</v>
      </c>
      <c r="B151">
        <v>57911.31</v>
      </c>
      <c r="C151">
        <v>1.47E-2</v>
      </c>
      <c r="D151">
        <f t="shared" si="8"/>
        <v>0.18144514136321122</v>
      </c>
      <c r="E151">
        <f t="shared" si="9"/>
        <v>1.61E-2</v>
      </c>
      <c r="F151" s="49">
        <f t="shared" si="7"/>
        <v>0.1158537514845934</v>
      </c>
      <c r="H151" s="47"/>
      <c r="I151" s="47"/>
      <c r="J151" s="47"/>
      <c r="K151" s="1"/>
      <c r="Q151">
        <v>1.47E-2</v>
      </c>
      <c r="S151" s="57"/>
    </row>
    <row r="152" spans="1:19">
      <c r="A152" s="45">
        <v>42826</v>
      </c>
      <c r="B152">
        <v>61644.56</v>
      </c>
      <c r="C152">
        <v>1.44E-2</v>
      </c>
      <c r="D152">
        <f t="shared" si="8"/>
        <v>0.29391236596120351</v>
      </c>
      <c r="E152">
        <f t="shared" si="9"/>
        <v>1.5699999999999999E-2</v>
      </c>
      <c r="F152" s="49">
        <f t="shared" si="7"/>
        <v>0.18322075291005543</v>
      </c>
      <c r="H152" s="47"/>
      <c r="I152" s="47"/>
      <c r="J152" s="47"/>
      <c r="K152" s="1"/>
      <c r="Q152">
        <v>1.44E-2</v>
      </c>
      <c r="S152" s="57"/>
    </row>
    <row r="153" spans="1:19">
      <c r="A153" s="45">
        <v>42856</v>
      </c>
      <c r="B153">
        <v>60092.07</v>
      </c>
      <c r="C153">
        <v>1.4E-2</v>
      </c>
      <c r="D153">
        <f t="shared" si="8"/>
        <v>0.31079036256534365</v>
      </c>
      <c r="E153">
        <f t="shared" si="9"/>
        <v>1.5299999999999999E-2</v>
      </c>
      <c r="F153" s="49">
        <f t="shared" si="7"/>
        <v>0.19326421753920617</v>
      </c>
      <c r="H153" s="47"/>
      <c r="I153" s="47"/>
      <c r="J153" s="47"/>
      <c r="K153" s="1"/>
      <c r="Q153">
        <v>1.4E-2</v>
      </c>
      <c r="S153" s="57"/>
    </row>
    <row r="154" spans="1:19">
      <c r="A154" s="45">
        <v>42887</v>
      </c>
      <c r="B154">
        <v>61018.36</v>
      </c>
      <c r="C154">
        <v>1.38E-2</v>
      </c>
      <c r="D154">
        <f t="shared" si="8"/>
        <v>0.36358356352711474</v>
      </c>
      <c r="E154">
        <f t="shared" si="9"/>
        <v>1.52E-2</v>
      </c>
      <c r="F154" s="49">
        <f t="shared" si="7"/>
        <v>0.22486680478293553</v>
      </c>
      <c r="H154" s="47"/>
      <c r="I154" s="47"/>
      <c r="J154" s="47"/>
      <c r="K154" s="1"/>
      <c r="Q154">
        <v>1.38E-2</v>
      </c>
      <c r="S154" s="57"/>
    </row>
    <row r="155" spans="1:19">
      <c r="A155" s="45">
        <v>42917</v>
      </c>
      <c r="B155">
        <v>62595.76</v>
      </c>
      <c r="C155">
        <v>1.44E-2</v>
      </c>
      <c r="D155">
        <f t="shared" si="8"/>
        <v>0.35571644287888771</v>
      </c>
      <c r="E155">
        <f t="shared" si="9"/>
        <v>1.6799999999999999E-2</v>
      </c>
      <c r="F155" s="49">
        <f t="shared" si="7"/>
        <v>0.22011653239399928</v>
      </c>
      <c r="H155" s="47"/>
      <c r="I155" s="47"/>
      <c r="J155" s="47"/>
      <c r="K155" s="1"/>
      <c r="Q155">
        <v>1.44E-2</v>
      </c>
      <c r="S155" s="57"/>
    </row>
    <row r="156" spans="1:19">
      <c r="A156" s="45">
        <v>42948</v>
      </c>
      <c r="B156">
        <v>64973.760000000002</v>
      </c>
      <c r="C156">
        <v>1.49E-2</v>
      </c>
      <c r="D156">
        <f t="shared" si="8"/>
        <v>0.35545268498448945</v>
      </c>
      <c r="E156">
        <f t="shared" si="9"/>
        <v>1.61E-2</v>
      </c>
      <c r="F156" s="49">
        <f t="shared" si="7"/>
        <v>0.21991161099069367</v>
      </c>
      <c r="H156" s="47"/>
      <c r="I156" s="47"/>
      <c r="J156" s="47"/>
      <c r="K156" s="1"/>
      <c r="Q156">
        <v>1.49E-2</v>
      </c>
      <c r="S156" s="57"/>
    </row>
    <row r="157" spans="1:19">
      <c r="A157" s="45">
        <v>42979</v>
      </c>
      <c r="B157">
        <v>64289.69</v>
      </c>
      <c r="C157">
        <v>1.46E-2</v>
      </c>
      <c r="D157">
        <f t="shared" si="8"/>
        <v>0.36539815066133663</v>
      </c>
      <c r="E157">
        <f t="shared" si="9"/>
        <v>1.6299999999999999E-2</v>
      </c>
      <c r="F157" s="49">
        <f t="shared" ref="F157:F220" si="11">0.6*D157+0.4*AVERAGE(E146:E157)</f>
        <v>0.22584222373013529</v>
      </c>
      <c r="H157" s="47"/>
      <c r="I157" s="47"/>
      <c r="J157" s="47"/>
      <c r="K157" s="1"/>
      <c r="Q157">
        <v>1.46E-2</v>
      </c>
      <c r="S157" s="57"/>
    </row>
    <row r="158" spans="1:19">
      <c r="A158" s="45">
        <v>43009</v>
      </c>
      <c r="B158">
        <v>64866.57</v>
      </c>
      <c r="C158">
        <v>1.49E-2</v>
      </c>
      <c r="D158">
        <f t="shared" si="8"/>
        <v>0.31953119278745601</v>
      </c>
      <c r="E158">
        <f t="shared" si="9"/>
        <v>1.6199999999999999E-2</v>
      </c>
      <c r="F158" s="49">
        <f t="shared" si="11"/>
        <v>0.1982787156724736</v>
      </c>
      <c r="H158" s="47"/>
      <c r="I158" s="47"/>
      <c r="J158" s="47"/>
      <c r="K158" s="1"/>
      <c r="Q158">
        <v>1.49E-2</v>
      </c>
      <c r="S158" s="57"/>
    </row>
    <row r="159" spans="1:19">
      <c r="A159" s="45">
        <v>43040</v>
      </c>
      <c r="B159">
        <v>62440.31</v>
      </c>
      <c r="C159">
        <v>1.52E-2</v>
      </c>
      <c r="D159">
        <f t="shared" si="8"/>
        <v>0.28428746670001459</v>
      </c>
      <c r="E159">
        <f t="shared" si="9"/>
        <v>1.5599999999999999E-2</v>
      </c>
      <c r="F159" s="49">
        <f t="shared" si="11"/>
        <v>0.17706248002000874</v>
      </c>
      <c r="H159" s="47"/>
      <c r="I159" s="47"/>
      <c r="J159" s="47"/>
      <c r="K159" s="1"/>
      <c r="Q159">
        <v>1.52E-2</v>
      </c>
      <c r="S159" s="57"/>
    </row>
    <row r="160" spans="1:19" s="49" customFormat="1">
      <c r="A160" s="48">
        <v>43070</v>
      </c>
      <c r="B160" s="49">
        <v>63746.2</v>
      </c>
      <c r="C160" s="49">
        <v>1.52E-2</v>
      </c>
      <c r="D160" s="49">
        <f t="shared" si="8"/>
        <v>0.23171470898015079</v>
      </c>
      <c r="E160" s="49">
        <f t="shared" si="9"/>
        <v>1.49E-2</v>
      </c>
      <c r="F160" s="49">
        <f t="shared" si="11"/>
        <v>0.14542882538809046</v>
      </c>
      <c r="H160" s="50"/>
      <c r="I160" s="50">
        <f>$I$2*(1+D160)</f>
        <v>147805.7650776181</v>
      </c>
      <c r="J160" s="50">
        <f>$J$2*(1+E160)</f>
        <v>81192</v>
      </c>
      <c r="K160" s="51">
        <f t="shared" si="10"/>
        <v>228997.7650776181</v>
      </c>
      <c r="L160" s="51">
        <f>K160-$I$3</f>
        <v>28997.765077618096</v>
      </c>
      <c r="M160" s="1">
        <f>((J160-MIN(J160,$K$2))+(I160-MIN(I160,MAX($L$2-MIN(J160,$K$2),0))))*R160</f>
        <v>397.05512090890852</v>
      </c>
      <c r="N160" s="51">
        <f>IF(L160&gt;0,0.19*L160,0)</f>
        <v>5509.5753647474385</v>
      </c>
      <c r="O160" s="53">
        <f>K160-M160</f>
        <v>228600.70995670918</v>
      </c>
      <c r="P160" s="53">
        <f>K160-N160</f>
        <v>223488.18971287066</v>
      </c>
      <c r="Q160">
        <v>1.52E-2</v>
      </c>
      <c r="R160">
        <f>MAX(0.19*Q146,0.1%)</f>
        <v>3.078E-3</v>
      </c>
      <c r="S160" s="56">
        <f>O160-P160</f>
        <v>5112.5202438385168</v>
      </c>
    </row>
    <row r="161" spans="1:19">
      <c r="A161" s="45">
        <v>43101</v>
      </c>
      <c r="B161">
        <v>66048.17</v>
      </c>
      <c r="C161">
        <v>1.5800000000000002E-2</v>
      </c>
      <c r="D161">
        <f t="shared" si="8"/>
        <v>0.19582465483977485</v>
      </c>
      <c r="E161">
        <f t="shared" si="9"/>
        <v>1.4999999999999999E-2</v>
      </c>
      <c r="F161" s="49">
        <f t="shared" si="11"/>
        <v>0.1238247929038649</v>
      </c>
      <c r="H161" s="47"/>
      <c r="I161" s="47"/>
      <c r="J161" s="47"/>
      <c r="K161" s="1"/>
      <c r="Q161">
        <v>1.5800000000000002E-2</v>
      </c>
      <c r="S161" s="57"/>
    </row>
    <row r="162" spans="1:19">
      <c r="A162" s="45">
        <v>43132</v>
      </c>
      <c r="B162">
        <v>61703.18</v>
      </c>
      <c r="C162">
        <v>1.5299999999999999E-2</v>
      </c>
      <c r="D162">
        <f t="shared" si="8"/>
        <v>5.836686799757862E-2</v>
      </c>
      <c r="E162">
        <f t="shared" si="9"/>
        <v>1.4999999999999999E-2</v>
      </c>
      <c r="F162" s="49">
        <f t="shared" si="11"/>
        <v>4.12934541318805E-2</v>
      </c>
      <c r="H162" s="47"/>
      <c r="I162" s="47"/>
      <c r="J162" s="47"/>
      <c r="K162" s="1"/>
      <c r="Q162">
        <v>1.5299999999999999E-2</v>
      </c>
      <c r="S162" s="57"/>
    </row>
    <row r="163" spans="1:19">
      <c r="A163" s="45">
        <v>43160</v>
      </c>
      <c r="B163">
        <v>58377.42</v>
      </c>
      <c r="C163">
        <v>1.5299999999999999E-2</v>
      </c>
      <c r="D163">
        <f t="shared" si="8"/>
        <v>8.0486868627216435E-3</v>
      </c>
      <c r="E163">
        <f t="shared" si="9"/>
        <v>1.47E-2</v>
      </c>
      <c r="F163" s="49">
        <f t="shared" si="11"/>
        <v>1.1055878784299655E-2</v>
      </c>
      <c r="H163" s="47"/>
      <c r="I163" s="47"/>
      <c r="J163" s="47"/>
      <c r="K163" s="1"/>
      <c r="Q163">
        <v>1.5299999999999999E-2</v>
      </c>
      <c r="S163" s="57"/>
    </row>
    <row r="164" spans="1:19">
      <c r="A164" s="45">
        <v>43191</v>
      </c>
      <c r="B164">
        <v>59932.46</v>
      </c>
      <c r="C164">
        <v>1.5299999999999999E-2</v>
      </c>
      <c r="D164">
        <f t="shared" si="8"/>
        <v>-2.7773740294358529E-2</v>
      </c>
      <c r="E164">
        <f t="shared" si="9"/>
        <v>1.44E-2</v>
      </c>
      <c r="F164" s="49">
        <f t="shared" si="11"/>
        <v>-1.0480910843281784E-2</v>
      </c>
      <c r="H164" s="47"/>
      <c r="I164" s="47"/>
      <c r="J164" s="47"/>
      <c r="K164" s="1"/>
      <c r="Q164">
        <v>1.5299999999999999E-2</v>
      </c>
      <c r="S164" s="57"/>
    </row>
    <row r="165" spans="1:19">
      <c r="A165" s="45">
        <v>43221</v>
      </c>
      <c r="B165">
        <v>57282.73</v>
      </c>
      <c r="C165">
        <v>1.6E-2</v>
      </c>
      <c r="D165">
        <f t="shared" si="8"/>
        <v>-4.6750594546002389E-2</v>
      </c>
      <c r="E165">
        <f t="shared" si="9"/>
        <v>1.4E-2</v>
      </c>
      <c r="F165" s="49">
        <f t="shared" si="11"/>
        <v>-2.1910356727601433E-2</v>
      </c>
      <c r="H165" s="47"/>
      <c r="I165" s="47"/>
      <c r="J165" s="47"/>
      <c r="K165" s="1"/>
      <c r="Q165">
        <v>1.6E-2</v>
      </c>
      <c r="S165" s="57"/>
    </row>
    <row r="166" spans="1:19">
      <c r="A166" s="45">
        <v>43252</v>
      </c>
      <c r="B166">
        <v>55954.44</v>
      </c>
      <c r="C166">
        <v>1.6199999999999999E-2</v>
      </c>
      <c r="D166">
        <f t="shared" si="8"/>
        <v>-8.2990103306611274E-2</v>
      </c>
      <c r="E166">
        <f t="shared" si="9"/>
        <v>1.38E-2</v>
      </c>
      <c r="F166" s="49">
        <f t="shared" si="11"/>
        <v>-4.370072865063343E-2</v>
      </c>
      <c r="H166" s="47"/>
      <c r="I166" s="47"/>
      <c r="J166" s="47"/>
      <c r="K166" s="1"/>
      <c r="Q166">
        <v>1.6199999999999999E-2</v>
      </c>
      <c r="S166" s="57"/>
    </row>
    <row r="167" spans="1:19">
      <c r="A167" s="45">
        <v>43282</v>
      </c>
      <c r="B167">
        <v>59964.47</v>
      </c>
      <c r="C167">
        <v>1.61E-2</v>
      </c>
      <c r="D167">
        <f t="shared" si="8"/>
        <v>-4.2036233764076059E-2</v>
      </c>
      <c r="E167">
        <f t="shared" si="9"/>
        <v>1.44E-2</v>
      </c>
      <c r="F167" s="49">
        <f t="shared" si="11"/>
        <v>-1.9208406925112304E-2</v>
      </c>
      <c r="H167" s="47"/>
      <c r="I167" s="47"/>
      <c r="J167" s="47"/>
      <c r="K167" s="1"/>
      <c r="Q167">
        <v>1.61E-2</v>
      </c>
      <c r="S167" s="57"/>
    </row>
    <row r="168" spans="1:19">
      <c r="A168" s="45">
        <v>43313</v>
      </c>
      <c r="B168">
        <v>60201.08</v>
      </c>
      <c r="C168">
        <v>1.5800000000000002E-2</v>
      </c>
      <c r="D168">
        <f t="shared" si="8"/>
        <v>-7.3455499573981897E-2</v>
      </c>
      <c r="E168">
        <f t="shared" si="9"/>
        <v>1.49E-2</v>
      </c>
      <c r="F168" s="49">
        <f t="shared" si="11"/>
        <v>-3.80999664110558E-2</v>
      </c>
      <c r="H168" s="47"/>
      <c r="I168" s="47"/>
      <c r="J168" s="47"/>
      <c r="K168" s="1"/>
      <c r="Q168">
        <v>1.5800000000000002E-2</v>
      </c>
      <c r="S168" s="57"/>
    </row>
    <row r="169" spans="1:19">
      <c r="A169" s="45">
        <v>43344</v>
      </c>
      <c r="B169">
        <v>58974.76</v>
      </c>
      <c r="C169">
        <v>1.6799999999999999E-2</v>
      </c>
      <c r="D169">
        <f t="shared" si="8"/>
        <v>-8.2671576111192913E-2</v>
      </c>
      <c r="E169">
        <f t="shared" si="9"/>
        <v>1.46E-2</v>
      </c>
      <c r="F169" s="49">
        <f t="shared" si="11"/>
        <v>-4.368627900004908E-2</v>
      </c>
      <c r="H169" s="47"/>
      <c r="I169" s="47"/>
      <c r="J169" s="47"/>
      <c r="K169" s="1"/>
      <c r="Q169">
        <v>1.6799999999999999E-2</v>
      </c>
      <c r="S169" s="57"/>
    </row>
    <row r="170" spans="1:19">
      <c r="A170" s="45">
        <v>43374</v>
      </c>
      <c r="B170">
        <v>55312.71</v>
      </c>
      <c r="C170">
        <v>1.61E-2</v>
      </c>
      <c r="D170">
        <f t="shared" si="8"/>
        <v>-0.14728480325073456</v>
      </c>
      <c r="E170">
        <f t="shared" si="9"/>
        <v>1.49E-2</v>
      </c>
      <c r="F170" s="49">
        <f t="shared" si="11"/>
        <v>-8.2497548617107411E-2</v>
      </c>
      <c r="H170" s="47"/>
      <c r="I170" s="47"/>
      <c r="J170" s="47"/>
      <c r="K170" s="1"/>
      <c r="Q170">
        <v>1.61E-2</v>
      </c>
      <c r="S170" s="57"/>
    </row>
    <row r="171" spans="1:19">
      <c r="A171" s="45">
        <v>43405</v>
      </c>
      <c r="B171">
        <v>58203.39</v>
      </c>
      <c r="C171">
        <v>1.7999999999999999E-2</v>
      </c>
      <c r="D171">
        <f t="shared" si="8"/>
        <v>-6.785552474034795E-2</v>
      </c>
      <c r="E171">
        <f t="shared" si="9"/>
        <v>1.52E-2</v>
      </c>
      <c r="F171" s="49">
        <f t="shared" si="11"/>
        <v>-3.4853314844208769E-2</v>
      </c>
      <c r="H171" s="47"/>
      <c r="I171" s="47"/>
      <c r="J171" s="47"/>
      <c r="K171" s="1"/>
      <c r="Q171">
        <v>1.7999999999999999E-2</v>
      </c>
      <c r="S171" s="57"/>
    </row>
    <row r="172" spans="1:19" s="49" customFormat="1">
      <c r="A172" s="48">
        <v>43435</v>
      </c>
      <c r="B172" s="49">
        <v>57690.5</v>
      </c>
      <c r="C172" s="49">
        <v>1.83E-2</v>
      </c>
      <c r="D172" s="49">
        <f t="shared" si="8"/>
        <v>-9.499703511738733E-2</v>
      </c>
      <c r="E172" s="49">
        <f t="shared" si="9"/>
        <v>1.52E-2</v>
      </c>
      <c r="F172" s="49">
        <f t="shared" si="11"/>
        <v>-5.1128221070432397E-2</v>
      </c>
      <c r="H172" s="50"/>
      <c r="I172" s="50">
        <f>$I$2*(1+D172)</f>
        <v>108600.35578591352</v>
      </c>
      <c r="J172" s="50">
        <f>$J$2*(1+E172)</f>
        <v>81216.000000000015</v>
      </c>
      <c r="K172" s="51">
        <f t="shared" si="10"/>
        <v>189816.35578591353</v>
      </c>
      <c r="L172" s="51">
        <f>K172-$I$3</f>
        <v>-10183.644214086467</v>
      </c>
      <c r="M172" s="1">
        <f>((J172-MIN(J172,$K$2))+(I172-MIN(I172,MAX($L$2-MIN(J172,$K$2),0))))*R172</f>
        <v>254.27010322992123</v>
      </c>
      <c r="N172" s="51">
        <f>IF(L172&gt;0,0.19*L172,0)</f>
        <v>0</v>
      </c>
      <c r="O172" s="53">
        <f>K172-M172</f>
        <v>189562.08568268362</v>
      </c>
      <c r="P172" s="53">
        <f>K172-N172</f>
        <v>189816.35578591353</v>
      </c>
      <c r="Q172">
        <v>1.83E-2</v>
      </c>
      <c r="R172">
        <f>MAX(0.19*Q158,0.1%)</f>
        <v>2.8310000000000002E-3</v>
      </c>
      <c r="S172" s="56">
        <f>O172-P172</f>
        <v>-254.27010322990827</v>
      </c>
    </row>
    <row r="173" spans="1:19">
      <c r="A173" s="45">
        <v>43466</v>
      </c>
      <c r="B173">
        <v>60367.42</v>
      </c>
      <c r="C173">
        <v>1.7500000000000002E-2</v>
      </c>
      <c r="D173">
        <f t="shared" si="8"/>
        <v>-8.6009196015574663E-2</v>
      </c>
      <c r="E173">
        <f t="shared" si="9"/>
        <v>1.5800000000000002E-2</v>
      </c>
      <c r="F173" s="49">
        <f t="shared" si="11"/>
        <v>-4.5708850942678125E-2</v>
      </c>
      <c r="H173" s="47"/>
      <c r="I173" s="47"/>
      <c r="J173" s="47"/>
      <c r="K173" s="1"/>
      <c r="Q173">
        <v>1.7500000000000002E-2</v>
      </c>
      <c r="S173" s="57"/>
    </row>
    <row r="174" spans="1:19">
      <c r="A174" s="45">
        <v>43497</v>
      </c>
      <c r="B174">
        <v>59903.7</v>
      </c>
      <c r="C174">
        <v>1.7299999999999999E-2</v>
      </c>
      <c r="D174">
        <f t="shared" si="8"/>
        <v>-2.9163488818566563E-2</v>
      </c>
      <c r="E174">
        <f t="shared" si="9"/>
        <v>1.5299999999999999E-2</v>
      </c>
      <c r="F174" s="49">
        <f t="shared" si="11"/>
        <v>-1.159142662447327E-2</v>
      </c>
      <c r="H174" s="47"/>
      <c r="I174" s="47"/>
      <c r="J174" s="47"/>
      <c r="K174" s="1"/>
      <c r="Q174">
        <v>1.7299999999999999E-2</v>
      </c>
      <c r="S174" s="57"/>
    </row>
    <row r="175" spans="1:19">
      <c r="A175" s="45">
        <v>43525</v>
      </c>
      <c r="B175">
        <v>59668.03</v>
      </c>
      <c r="C175">
        <v>1.5900000000000001E-2</v>
      </c>
      <c r="D175">
        <f t="shared" si="8"/>
        <v>2.2108034236524965E-2</v>
      </c>
      <c r="E175">
        <f t="shared" si="9"/>
        <v>1.5299999999999999E-2</v>
      </c>
      <c r="F175" s="49">
        <f t="shared" si="11"/>
        <v>1.9191487208581645E-2</v>
      </c>
      <c r="H175" s="47"/>
      <c r="I175" s="47"/>
      <c r="J175" s="47"/>
      <c r="K175" s="1"/>
      <c r="Q175">
        <v>1.5900000000000001E-2</v>
      </c>
      <c r="S175" s="57"/>
    </row>
    <row r="176" spans="1:19">
      <c r="A176" s="45">
        <v>43556</v>
      </c>
      <c r="B176">
        <v>60145.5</v>
      </c>
      <c r="C176">
        <v>1.5599999999999999E-2</v>
      </c>
      <c r="D176">
        <f t="shared" si="8"/>
        <v>3.5546680379880957E-3</v>
      </c>
      <c r="E176">
        <f t="shared" si="9"/>
        <v>1.5299999999999999E-2</v>
      </c>
      <c r="F176" s="49">
        <f t="shared" si="11"/>
        <v>8.0894674894595262E-3</v>
      </c>
      <c r="H176" s="47"/>
      <c r="I176" s="47"/>
      <c r="J176" s="47"/>
      <c r="K176" s="1"/>
      <c r="Q176">
        <v>1.5599999999999999E-2</v>
      </c>
      <c r="S176" s="57"/>
    </row>
    <row r="177" spans="1:19">
      <c r="A177" s="45">
        <v>43586</v>
      </c>
      <c r="B177">
        <v>57909.95</v>
      </c>
      <c r="C177">
        <v>1.52E-2</v>
      </c>
      <c r="D177">
        <f t="shared" si="8"/>
        <v>1.0949547970217077E-2</v>
      </c>
      <c r="E177">
        <f t="shared" si="9"/>
        <v>1.6E-2</v>
      </c>
      <c r="F177" s="49">
        <f t="shared" si="11"/>
        <v>1.2593062115463582E-2</v>
      </c>
      <c r="H177" s="47"/>
      <c r="I177" s="47"/>
      <c r="J177" s="47"/>
      <c r="K177" s="1"/>
      <c r="Q177">
        <v>1.52E-2</v>
      </c>
      <c r="S177" s="57"/>
    </row>
    <row r="178" spans="1:19">
      <c r="A178" s="45">
        <v>43617</v>
      </c>
      <c r="B178">
        <v>60187.43</v>
      </c>
      <c r="C178">
        <v>1.41E-2</v>
      </c>
      <c r="D178">
        <f t="shared" si="8"/>
        <v>7.5650654353792035E-2</v>
      </c>
      <c r="E178">
        <f t="shared" si="9"/>
        <v>1.6199999999999999E-2</v>
      </c>
      <c r="F178" s="49">
        <f t="shared" si="11"/>
        <v>5.1493725945608554E-2</v>
      </c>
      <c r="H178" s="47"/>
      <c r="I178" s="47"/>
      <c r="J178" s="47"/>
      <c r="K178" s="1"/>
      <c r="Q178">
        <v>1.41E-2</v>
      </c>
      <c r="S178" s="57"/>
    </row>
    <row r="179" spans="1:19">
      <c r="A179" s="45">
        <v>43647</v>
      </c>
      <c r="B179">
        <v>59670.6</v>
      </c>
      <c r="C179">
        <v>1.41E-2</v>
      </c>
      <c r="D179">
        <f t="shared" si="8"/>
        <v>-4.9007353854707558E-3</v>
      </c>
      <c r="E179">
        <f t="shared" si="9"/>
        <v>1.61E-2</v>
      </c>
      <c r="F179" s="49">
        <f t="shared" si="11"/>
        <v>3.2195587687175453E-3</v>
      </c>
      <c r="H179" s="47"/>
      <c r="I179" s="47"/>
      <c r="J179" s="47"/>
      <c r="K179" s="1"/>
      <c r="Q179">
        <v>1.41E-2</v>
      </c>
      <c r="S179" s="57"/>
    </row>
    <row r="180" spans="1:19">
      <c r="A180" s="45">
        <v>43678</v>
      </c>
      <c r="B180">
        <v>56739.53</v>
      </c>
      <c r="C180">
        <v>1.34E-2</v>
      </c>
      <c r="D180">
        <f t="shared" si="8"/>
        <v>-5.7499799006928143E-2</v>
      </c>
      <c r="E180">
        <f t="shared" si="9"/>
        <v>1.5800000000000002E-2</v>
      </c>
      <c r="F180" s="49">
        <f t="shared" si="11"/>
        <v>-2.8309879404156885E-2</v>
      </c>
      <c r="H180" s="47"/>
      <c r="I180" s="47"/>
      <c r="J180" s="47"/>
      <c r="K180" s="1"/>
      <c r="Q180">
        <v>1.34E-2</v>
      </c>
      <c r="S180" s="57"/>
    </row>
    <row r="181" spans="1:19">
      <c r="A181" s="45">
        <v>43709</v>
      </c>
      <c r="B181">
        <v>57320.3</v>
      </c>
      <c r="C181">
        <v>1.32E-2</v>
      </c>
      <c r="D181">
        <f t="shared" si="8"/>
        <v>-2.8053696191387645E-2</v>
      </c>
      <c r="E181">
        <f t="shared" si="9"/>
        <v>1.6799999999999999E-2</v>
      </c>
      <c r="F181" s="49">
        <f t="shared" si="11"/>
        <v>-1.0568884381499253E-2</v>
      </c>
      <c r="H181" s="47"/>
      <c r="I181" s="47"/>
      <c r="J181" s="47"/>
      <c r="K181" s="1"/>
      <c r="Q181">
        <v>1.32E-2</v>
      </c>
      <c r="S181" s="57"/>
    </row>
    <row r="182" spans="1:19">
      <c r="A182" s="45">
        <v>43739</v>
      </c>
      <c r="B182">
        <v>57783.02</v>
      </c>
      <c r="C182">
        <v>1.34E-2</v>
      </c>
      <c r="D182">
        <f t="shared" si="8"/>
        <v>4.4660802191756499E-2</v>
      </c>
      <c r="E182">
        <f t="shared" si="9"/>
        <v>1.61E-2</v>
      </c>
      <c r="F182" s="49">
        <f t="shared" si="11"/>
        <v>3.3099814648387238E-2</v>
      </c>
      <c r="H182" s="47"/>
      <c r="I182" s="47"/>
      <c r="J182" s="47"/>
      <c r="K182" s="1"/>
      <c r="Q182">
        <v>1.34E-2</v>
      </c>
      <c r="S182" s="57"/>
    </row>
    <row r="183" spans="1:19">
      <c r="A183" s="45">
        <v>43770</v>
      </c>
      <c r="B183">
        <v>57502.14</v>
      </c>
      <c r="C183">
        <v>1.3100000000000001E-2</v>
      </c>
      <c r="D183">
        <f t="shared" si="8"/>
        <v>-1.204826729164743E-2</v>
      </c>
      <c r="E183">
        <f t="shared" si="9"/>
        <v>1.7999999999999999E-2</v>
      </c>
      <c r="F183" s="49">
        <f t="shared" si="11"/>
        <v>-8.3229370832178969E-4</v>
      </c>
      <c r="H183" s="47"/>
      <c r="I183" s="47"/>
      <c r="J183" s="47"/>
      <c r="K183" s="1"/>
      <c r="Q183">
        <v>1.3100000000000001E-2</v>
      </c>
      <c r="S183" s="57"/>
    </row>
    <row r="184" spans="1:19" s="49" customFormat="1">
      <c r="A184" s="48">
        <v>43800</v>
      </c>
      <c r="B184" s="49">
        <v>57832.88</v>
      </c>
      <c r="C184" s="49">
        <v>1.21E-2</v>
      </c>
      <c r="D184" s="49">
        <f t="shared" si="8"/>
        <v>2.467997330583005E-3</v>
      </c>
      <c r="E184" s="49">
        <f t="shared" si="9"/>
        <v>1.83E-2</v>
      </c>
      <c r="F184" s="49">
        <f t="shared" si="11"/>
        <v>7.9807983983498053E-3</v>
      </c>
      <c r="H184" s="50"/>
      <c r="I184" s="50">
        <f>$I$2*(1+D184)</f>
        <v>120296.15967966996</v>
      </c>
      <c r="J184" s="50">
        <f>$J$2*(1+E184)</f>
        <v>81464</v>
      </c>
      <c r="K184" s="51">
        <f t="shared" si="10"/>
        <v>201760.15967966995</v>
      </c>
      <c r="L184" s="51">
        <f>K184-$I$3</f>
        <v>1760.159679669945</v>
      </c>
      <c r="M184" s="1">
        <f>((J184-MIN(J184,$K$2))+(I184-MIN(I184,MAX($L$2-MIN(J184,$K$2),0))))*R184</f>
        <v>311.28432846011043</v>
      </c>
      <c r="N184" s="51">
        <f>IF(L184&gt;0,0.19*L184,0)</f>
        <v>334.43033913728954</v>
      </c>
      <c r="O184" s="53">
        <f>K184-M184</f>
        <v>201448.87535120983</v>
      </c>
      <c r="P184" s="53">
        <f>K184-N184</f>
        <v>201425.72934053265</v>
      </c>
      <c r="Q184">
        <v>1.21E-2</v>
      </c>
      <c r="R184">
        <f>MAX(0.19*Q170,0.1%)</f>
        <v>3.0590000000000001E-3</v>
      </c>
      <c r="S184" s="56">
        <f>O184-P184</f>
        <v>23.146010677184677</v>
      </c>
    </row>
    <row r="185" spans="1:19">
      <c r="A185" s="45">
        <v>43831</v>
      </c>
      <c r="B185">
        <v>56681.27</v>
      </c>
      <c r="C185">
        <v>1.2500000000000001E-2</v>
      </c>
      <c r="D185">
        <f t="shared" si="8"/>
        <v>-6.1061910547113074E-2</v>
      </c>
      <c r="E185">
        <f t="shared" si="9"/>
        <v>1.7500000000000002E-2</v>
      </c>
      <c r="F185" s="49">
        <f t="shared" si="11"/>
        <v>-3.0080479661601177E-2</v>
      </c>
      <c r="H185" s="47"/>
      <c r="I185" s="47"/>
      <c r="J185" s="47"/>
      <c r="K185" s="1"/>
      <c r="Q185">
        <v>1.2500000000000001E-2</v>
      </c>
      <c r="S185" s="57"/>
    </row>
    <row r="186" spans="1:19">
      <c r="A186" s="45">
        <v>43862</v>
      </c>
      <c r="B186">
        <v>49276.54</v>
      </c>
      <c r="C186">
        <v>1.2E-2</v>
      </c>
      <c r="D186">
        <f t="shared" si="8"/>
        <v>-0.17740406686064458</v>
      </c>
      <c r="E186">
        <f t="shared" si="9"/>
        <v>1.7299999999999999E-2</v>
      </c>
      <c r="F186" s="49">
        <f t="shared" si="11"/>
        <v>-9.9819106783053418E-2</v>
      </c>
      <c r="H186" s="47"/>
      <c r="I186" s="47"/>
      <c r="J186" s="47"/>
      <c r="K186" s="1"/>
      <c r="Q186">
        <v>1.2E-2</v>
      </c>
      <c r="S186" s="57"/>
    </row>
    <row r="187" spans="1:19">
      <c r="A187" s="45">
        <v>43891</v>
      </c>
      <c r="B187">
        <v>41624.620000000003</v>
      </c>
      <c r="C187">
        <v>1.21E-2</v>
      </c>
      <c r="D187">
        <f t="shared" si="8"/>
        <v>-0.30239661004393803</v>
      </c>
      <c r="E187">
        <f t="shared" si="9"/>
        <v>1.5900000000000001E-2</v>
      </c>
      <c r="F187" s="49">
        <f t="shared" si="11"/>
        <v>-0.17479463269302947</v>
      </c>
      <c r="H187" s="47"/>
      <c r="I187" s="47"/>
      <c r="J187" s="47"/>
      <c r="K187" s="1"/>
      <c r="Q187">
        <v>1.21E-2</v>
      </c>
      <c r="S187" s="57"/>
    </row>
    <row r="188" spans="1:19">
      <c r="A188" s="45">
        <v>43922</v>
      </c>
      <c r="B188">
        <v>46117</v>
      </c>
      <c r="C188">
        <v>9.2999999999999992E-3</v>
      </c>
      <c r="D188">
        <f t="shared" si="8"/>
        <v>-0.23324271973796873</v>
      </c>
      <c r="E188">
        <f t="shared" si="9"/>
        <v>1.5599999999999999E-2</v>
      </c>
      <c r="F188" s="49">
        <f t="shared" si="11"/>
        <v>-0.13329229850944788</v>
      </c>
      <c r="H188" s="47"/>
      <c r="I188" s="47"/>
      <c r="J188" s="47"/>
      <c r="K188" s="1"/>
      <c r="Q188">
        <v>9.2999999999999992E-3</v>
      </c>
      <c r="S188" s="57"/>
    </row>
    <row r="189" spans="1:19">
      <c r="A189" s="45">
        <v>43952</v>
      </c>
      <c r="B189">
        <v>48127.64</v>
      </c>
      <c r="C189">
        <v>6.1999999999999998E-3</v>
      </c>
      <c r="D189">
        <f t="shared" si="8"/>
        <v>-0.16892278442651043</v>
      </c>
      <c r="E189">
        <f t="shared" si="9"/>
        <v>1.52E-2</v>
      </c>
      <c r="F189" s="49">
        <f t="shared" si="11"/>
        <v>-9.4727003989239583E-2</v>
      </c>
      <c r="H189" s="47"/>
      <c r="I189" s="47"/>
      <c r="J189" s="47"/>
      <c r="K189" s="1"/>
      <c r="Q189">
        <v>6.1999999999999998E-3</v>
      </c>
      <c r="S189" s="57"/>
    </row>
    <row r="190" spans="1:19">
      <c r="A190" s="45">
        <v>43983</v>
      </c>
      <c r="B190">
        <v>49569.17</v>
      </c>
      <c r="C190">
        <v>4.4000000000000003E-3</v>
      </c>
      <c r="D190">
        <f t="shared" si="8"/>
        <v>-0.17641989365553579</v>
      </c>
      <c r="E190">
        <f t="shared" si="9"/>
        <v>1.41E-2</v>
      </c>
      <c r="F190" s="49">
        <f t="shared" si="11"/>
        <v>-9.9295269526654795E-2</v>
      </c>
      <c r="H190" s="47"/>
      <c r="I190" s="47"/>
      <c r="J190" s="47"/>
      <c r="K190" s="1"/>
      <c r="Q190">
        <v>4.4000000000000003E-3</v>
      </c>
      <c r="S190" s="57"/>
    </row>
    <row r="191" spans="1:19">
      <c r="A191" s="45">
        <v>44013</v>
      </c>
      <c r="B191">
        <v>50468.160000000003</v>
      </c>
      <c r="C191">
        <v>3.5999999999999999E-3</v>
      </c>
      <c r="D191">
        <f t="shared" si="8"/>
        <v>-0.15422067148646057</v>
      </c>
      <c r="E191">
        <f t="shared" si="9"/>
        <v>1.41E-2</v>
      </c>
      <c r="F191" s="49">
        <f t="shared" si="11"/>
        <v>-8.6042402891876341E-2</v>
      </c>
      <c r="H191" s="47"/>
      <c r="I191" s="47"/>
      <c r="J191" s="47"/>
      <c r="K191" s="1"/>
      <c r="Q191">
        <v>3.5999999999999999E-3</v>
      </c>
      <c r="S191" s="57"/>
    </row>
    <row r="192" spans="1:19">
      <c r="A192" s="45">
        <v>44044</v>
      </c>
      <c r="B192">
        <v>51629.45</v>
      </c>
      <c r="C192">
        <v>3.2000000000000002E-3</v>
      </c>
      <c r="D192">
        <f t="shared" si="8"/>
        <v>-9.0062078413409519E-2</v>
      </c>
      <c r="E192">
        <f t="shared" si="9"/>
        <v>1.34E-2</v>
      </c>
      <c r="F192" s="49">
        <f t="shared" si="11"/>
        <v>-4.7627247048045711E-2</v>
      </c>
      <c r="H192" s="47"/>
      <c r="I192" s="47"/>
      <c r="J192" s="47"/>
      <c r="K192" s="1"/>
      <c r="Q192">
        <v>3.2000000000000002E-3</v>
      </c>
      <c r="S192" s="57"/>
    </row>
    <row r="193" spans="1:19">
      <c r="A193" s="45">
        <v>44075</v>
      </c>
      <c r="B193">
        <v>49411.53</v>
      </c>
      <c r="C193">
        <v>4.8999999999999998E-3</v>
      </c>
      <c r="D193">
        <f t="shared" si="8"/>
        <v>-0.13797502804416595</v>
      </c>
      <c r="E193">
        <f t="shared" si="9"/>
        <v>1.32E-2</v>
      </c>
      <c r="F193" s="49">
        <f t="shared" si="11"/>
        <v>-7.6495016826499562E-2</v>
      </c>
      <c r="H193" s="47"/>
      <c r="I193" s="47"/>
      <c r="J193" s="47"/>
      <c r="K193" s="1"/>
      <c r="Q193">
        <v>4.8999999999999998E-3</v>
      </c>
      <c r="S193" s="57"/>
    </row>
    <row r="194" spans="1:19">
      <c r="A194" s="45">
        <v>44105</v>
      </c>
      <c r="B194">
        <v>44097.98</v>
      </c>
      <c r="C194">
        <v>4.1999999999999997E-3</v>
      </c>
      <c r="D194">
        <f t="shared" si="8"/>
        <v>-0.23683497331915149</v>
      </c>
      <c r="E194">
        <f t="shared" si="9"/>
        <v>1.34E-2</v>
      </c>
      <c r="F194" s="49">
        <f t="shared" si="11"/>
        <v>-0.13590098399149086</v>
      </c>
      <c r="H194" s="47"/>
      <c r="I194" s="47"/>
      <c r="J194" s="47"/>
      <c r="K194" s="1"/>
      <c r="Q194">
        <v>4.1999999999999997E-3</v>
      </c>
      <c r="S194" s="57"/>
    </row>
    <row r="195" spans="1:19">
      <c r="A195" s="45">
        <v>44136</v>
      </c>
      <c r="B195">
        <v>52639.45</v>
      </c>
      <c r="C195">
        <v>4.4000000000000003E-3</v>
      </c>
      <c r="D195">
        <f t="shared" si="8"/>
        <v>-8.4565374436499252E-2</v>
      </c>
      <c r="E195">
        <f t="shared" si="9"/>
        <v>1.3100000000000001E-2</v>
      </c>
      <c r="F195" s="49">
        <f t="shared" si="11"/>
        <v>-4.4702557995232886E-2</v>
      </c>
      <c r="H195" s="47"/>
      <c r="I195" s="47"/>
      <c r="J195" s="47"/>
      <c r="K195" s="1"/>
      <c r="Q195">
        <v>4.4000000000000003E-3</v>
      </c>
      <c r="S195" s="57"/>
    </row>
    <row r="196" spans="1:19" s="49" customFormat="1">
      <c r="A196" s="48">
        <v>44166</v>
      </c>
      <c r="B196" s="49">
        <v>57025.84</v>
      </c>
      <c r="C196" s="49">
        <v>5.1000000000000004E-3</v>
      </c>
      <c r="D196" s="49">
        <f t="shared" si="8"/>
        <v>-1.3954691518043072E-2</v>
      </c>
      <c r="E196" s="49">
        <f t="shared" si="9"/>
        <v>1.21E-2</v>
      </c>
      <c r="F196" s="49">
        <f t="shared" si="11"/>
        <v>-2.5428149108258427E-3</v>
      </c>
      <c r="H196" s="50"/>
      <c r="I196" s="50">
        <f>$I$2*(1+D196)</f>
        <v>118325.43701783483</v>
      </c>
      <c r="J196" s="50">
        <f>$J$2*(1+E196)</f>
        <v>80968</v>
      </c>
      <c r="K196" s="51">
        <f t="shared" si="10"/>
        <v>199293.43701783483</v>
      </c>
      <c r="L196" s="51">
        <f>K196-$I$3</f>
        <v>-706.56298216516734</v>
      </c>
      <c r="M196" s="1">
        <f>((J196-MIN(J196,$K$2))+(I196-MIN(I196,MAX($L$2-MIN(J196,$K$2),0))))*R196</f>
        <v>252.80109064740751</v>
      </c>
      <c r="N196" s="51">
        <f>IF(L196&gt;0,0.19*L196,0)</f>
        <v>0</v>
      </c>
      <c r="O196" s="53">
        <f>K196-M196</f>
        <v>199040.63592718742</v>
      </c>
      <c r="P196" s="53">
        <f>K196-N196</f>
        <v>199293.43701783483</v>
      </c>
      <c r="Q196">
        <v>5.1000000000000004E-3</v>
      </c>
      <c r="R196">
        <f>MAX(0.19*Q182,0.1%)</f>
        <v>2.5460000000000001E-3</v>
      </c>
      <c r="S196" s="56">
        <f>O196-P196</f>
        <v>-252.80109064740827</v>
      </c>
    </row>
    <row r="197" spans="1:19">
      <c r="A197" s="45">
        <v>44197</v>
      </c>
      <c r="B197">
        <v>56978.68</v>
      </c>
      <c r="C197">
        <v>4.1999999999999997E-3</v>
      </c>
      <c r="D197">
        <f t="shared" si="8"/>
        <v>5.2470595665905506E-3</v>
      </c>
      <c r="E197">
        <f t="shared" si="9"/>
        <v>1.2500000000000001E-2</v>
      </c>
      <c r="F197" s="49">
        <f t="shared" si="11"/>
        <v>8.8115690732876641E-3</v>
      </c>
      <c r="H197" s="47"/>
      <c r="I197" s="47"/>
      <c r="J197" s="47"/>
      <c r="K197" s="1"/>
      <c r="Q197">
        <v>4.1999999999999997E-3</v>
      </c>
      <c r="S197" s="57"/>
    </row>
    <row r="198" spans="1:19">
      <c r="A198" s="45">
        <v>44228</v>
      </c>
      <c r="B198">
        <v>56970.3</v>
      </c>
      <c r="C198">
        <v>2.5999999999999999E-3</v>
      </c>
      <c r="D198">
        <f t="shared" si="8"/>
        <v>0.15613433897753382</v>
      </c>
      <c r="E198">
        <f t="shared" si="9"/>
        <v>1.2E-2</v>
      </c>
      <c r="F198" s="49">
        <f t="shared" si="11"/>
        <v>9.9167270053186957E-2</v>
      </c>
      <c r="H198" s="47"/>
      <c r="I198" s="47"/>
      <c r="J198" s="47"/>
      <c r="K198" s="1"/>
      <c r="Q198">
        <v>2.5999999999999999E-3</v>
      </c>
      <c r="S198" s="57"/>
    </row>
    <row r="199" spans="1:19">
      <c r="A199" s="45">
        <v>44256</v>
      </c>
      <c r="B199">
        <v>58081.5</v>
      </c>
      <c r="C199">
        <v>2E-3</v>
      </c>
      <c r="D199">
        <f t="shared" si="8"/>
        <v>0.39536408981030924</v>
      </c>
      <c r="E199">
        <f t="shared" si="9"/>
        <v>1.21E-2</v>
      </c>
      <c r="F199" s="49">
        <f t="shared" si="11"/>
        <v>0.24257845388618554</v>
      </c>
      <c r="H199" s="47"/>
      <c r="I199" s="47"/>
      <c r="J199" s="47"/>
      <c r="K199" s="1"/>
      <c r="Q199">
        <v>2E-3</v>
      </c>
      <c r="S199" s="57"/>
    </row>
    <row r="200" spans="1:19">
      <c r="A200" s="45">
        <v>44287</v>
      </c>
      <c r="B200">
        <v>60810.55</v>
      </c>
      <c r="C200">
        <v>1.8E-3</v>
      </c>
      <c r="D200">
        <f t="shared" si="8"/>
        <v>0.31861461066418029</v>
      </c>
      <c r="E200">
        <f t="shared" si="9"/>
        <v>9.2999999999999992E-3</v>
      </c>
      <c r="F200" s="49">
        <f t="shared" si="11"/>
        <v>0.19631876639850815</v>
      </c>
      <c r="H200" s="47"/>
      <c r="I200" s="47"/>
      <c r="J200" s="47"/>
      <c r="K200" s="1"/>
      <c r="Q200">
        <v>1.8E-3</v>
      </c>
      <c r="S200" s="57"/>
    </row>
    <row r="201" spans="1:19">
      <c r="A201" s="45">
        <v>44317</v>
      </c>
      <c r="B201">
        <v>66284.710000000006</v>
      </c>
      <c r="C201">
        <v>2.0999999999999999E-3</v>
      </c>
      <c r="D201">
        <f t="shared" si="8"/>
        <v>0.37726907033047974</v>
      </c>
      <c r="E201">
        <f t="shared" si="9"/>
        <v>6.1999999999999998E-3</v>
      </c>
      <c r="F201" s="49">
        <f t="shared" si="11"/>
        <v>0.23121144219828782</v>
      </c>
      <c r="H201" s="47"/>
      <c r="I201" s="47"/>
      <c r="J201" s="47"/>
      <c r="K201" s="1"/>
      <c r="Q201">
        <v>2.0999999999999999E-3</v>
      </c>
      <c r="S201" s="57"/>
    </row>
    <row r="202" spans="1:19">
      <c r="A202" s="45">
        <v>44348</v>
      </c>
      <c r="B202">
        <v>66067.210000000006</v>
      </c>
      <c r="C202">
        <v>2.2000000000000001E-3</v>
      </c>
      <c r="D202">
        <f t="shared" si="8"/>
        <v>0.33282865135728534</v>
      </c>
      <c r="E202">
        <f t="shared" si="9"/>
        <v>4.4000000000000003E-3</v>
      </c>
      <c r="F202" s="49">
        <f t="shared" si="11"/>
        <v>0.20422385748103788</v>
      </c>
      <c r="H202" s="47"/>
      <c r="I202" s="47"/>
      <c r="J202" s="47"/>
      <c r="K202" s="1"/>
      <c r="Q202">
        <v>2.2000000000000001E-3</v>
      </c>
      <c r="S202" s="57"/>
    </row>
    <row r="203" spans="1:19">
      <c r="A203" s="45">
        <v>44378</v>
      </c>
      <c r="B203">
        <v>67637.95</v>
      </c>
      <c r="C203">
        <v>2.2000000000000001E-3</v>
      </c>
      <c r="D203">
        <f t="shared" si="8"/>
        <v>0.34021034252090798</v>
      </c>
      <c r="E203">
        <f t="shared" si="9"/>
        <v>3.5999999999999999E-3</v>
      </c>
      <c r="F203" s="49">
        <f t="shared" si="11"/>
        <v>0.20830287217921145</v>
      </c>
      <c r="H203" s="47"/>
      <c r="I203" s="47"/>
      <c r="J203" s="47"/>
      <c r="K203" s="1"/>
      <c r="Q203">
        <v>2.2000000000000001E-3</v>
      </c>
      <c r="S203" s="57"/>
    </row>
    <row r="204" spans="1:19">
      <c r="A204" s="45">
        <v>44409</v>
      </c>
      <c r="B204">
        <v>70930.149999999994</v>
      </c>
      <c r="C204">
        <v>2.3E-3</v>
      </c>
      <c r="D204">
        <f t="shared" si="8"/>
        <v>0.37383121454906054</v>
      </c>
      <c r="E204">
        <f t="shared" si="9"/>
        <v>3.2000000000000002E-3</v>
      </c>
      <c r="F204" s="49">
        <f t="shared" si="11"/>
        <v>0.22813539539610297</v>
      </c>
      <c r="H204" s="47"/>
      <c r="I204" s="47"/>
      <c r="J204" s="47"/>
      <c r="K204" s="1"/>
      <c r="Q204">
        <v>2.3E-3</v>
      </c>
      <c r="S204" s="57"/>
    </row>
    <row r="205" spans="1:19">
      <c r="A205" s="45">
        <v>44440</v>
      </c>
      <c r="B205">
        <v>70340.86</v>
      </c>
      <c r="C205">
        <v>2.8999999999999998E-3</v>
      </c>
      <c r="D205">
        <f t="shared" si="8"/>
        <v>0.42357178577550636</v>
      </c>
      <c r="E205">
        <f t="shared" si="9"/>
        <v>4.8999999999999998E-3</v>
      </c>
      <c r="F205" s="49">
        <f t="shared" si="11"/>
        <v>0.2577030714653038</v>
      </c>
      <c r="H205" s="47"/>
      <c r="I205" s="47"/>
      <c r="J205" s="47"/>
      <c r="K205" s="1"/>
      <c r="Q205">
        <v>2.8999999999999998E-3</v>
      </c>
      <c r="S205" s="57"/>
    </row>
    <row r="206" spans="1:19">
      <c r="A206" s="45">
        <v>44470</v>
      </c>
      <c r="B206">
        <v>73586.320000000007</v>
      </c>
      <c r="C206">
        <v>3.5000000000000001E-3</v>
      </c>
      <c r="D206">
        <f t="shared" si="8"/>
        <v>0.66870047108733788</v>
      </c>
      <c r="E206">
        <f t="shared" si="9"/>
        <v>4.1999999999999997E-3</v>
      </c>
      <c r="F206" s="49">
        <f t="shared" si="11"/>
        <v>0.40447361598573606</v>
      </c>
      <c r="H206" s="47"/>
      <c r="I206" s="47"/>
      <c r="J206" s="47"/>
      <c r="K206" s="1"/>
      <c r="Q206">
        <v>3.5000000000000001E-3</v>
      </c>
      <c r="S206" s="57"/>
    </row>
    <row r="207" spans="1:19">
      <c r="A207" s="45">
        <v>44501</v>
      </c>
      <c r="B207">
        <v>67814.89</v>
      </c>
      <c r="C207">
        <v>4.4000000000000003E-3</v>
      </c>
      <c r="D207">
        <f t="shared" si="8"/>
        <v>0.28829024619368182</v>
      </c>
      <c r="E207">
        <f t="shared" si="9"/>
        <v>4.4000000000000003E-3</v>
      </c>
      <c r="F207" s="49">
        <f t="shared" si="11"/>
        <v>0.17593748104954243</v>
      </c>
      <c r="H207" s="47"/>
      <c r="I207" s="47"/>
      <c r="J207" s="47"/>
      <c r="K207" s="1"/>
      <c r="Q207">
        <v>4.4000000000000003E-3</v>
      </c>
      <c r="S207" s="57"/>
    </row>
    <row r="208" spans="1:19" s="49" customFormat="1">
      <c r="A208" s="48">
        <v>44531</v>
      </c>
      <c r="B208" s="49">
        <v>69296.259999999995</v>
      </c>
      <c r="C208" s="49">
        <v>6.7999999999999996E-3</v>
      </c>
      <c r="D208" s="49">
        <f t="shared" si="8"/>
        <v>0.21517298123096484</v>
      </c>
      <c r="E208" s="49">
        <f t="shared" si="9"/>
        <v>5.1000000000000004E-3</v>
      </c>
      <c r="F208" s="49">
        <f t="shared" si="11"/>
        <v>0.1318337887385789</v>
      </c>
      <c r="H208" s="50"/>
      <c r="I208" s="50">
        <f>$I$2*(1+D208)</f>
        <v>145820.75774771578</v>
      </c>
      <c r="J208" s="50">
        <f>$J$2*(1+E208)</f>
        <v>80408.000000000015</v>
      </c>
      <c r="K208" s="51">
        <f t="shared" si="10"/>
        <v>226228.7577477158</v>
      </c>
      <c r="L208" s="51">
        <f>K208-$I$3</f>
        <v>26228.757747715805</v>
      </c>
      <c r="M208" s="1">
        <f>((J208-MIN(J208,$K$2))+(I208-MIN(I208,MAX($L$2-MIN(J208,$K$2),0))))*R208</f>
        <v>126.22875774771579</v>
      </c>
      <c r="N208" s="51">
        <f>IF(L208&gt;0,0.19*L208,0)</f>
        <v>4983.4639720660034</v>
      </c>
      <c r="O208" s="53">
        <f>K208-M208</f>
        <v>226102.52898996809</v>
      </c>
      <c r="P208" s="53">
        <f>K208-N208</f>
        <v>221245.2937756498</v>
      </c>
      <c r="Q208">
        <v>6.7999999999999996E-3</v>
      </c>
      <c r="R208">
        <f>MAX(0.19*Q194,0.1%)</f>
        <v>1E-3</v>
      </c>
      <c r="S208" s="56">
        <f>O208-P208</f>
        <v>4857.2352143182943</v>
      </c>
    </row>
    <row r="209" spans="1:19">
      <c r="A209" s="45">
        <v>44562</v>
      </c>
      <c r="B209">
        <v>67418.41</v>
      </c>
      <c r="C209">
        <v>1.0200000000000001E-2</v>
      </c>
      <c r="D209">
        <f t="shared" si="8"/>
        <v>0.18322168923534221</v>
      </c>
      <c r="E209">
        <f t="shared" si="9"/>
        <v>4.1999999999999997E-3</v>
      </c>
      <c r="F209" s="49">
        <f t="shared" si="11"/>
        <v>0.11238634687453866</v>
      </c>
      <c r="H209" s="47"/>
      <c r="I209" s="47"/>
      <c r="J209" s="47"/>
      <c r="K209" s="1"/>
      <c r="Q209">
        <v>1.0200000000000001E-2</v>
      </c>
      <c r="S209" s="57"/>
    </row>
    <row r="210" spans="1:19">
      <c r="A210" s="45">
        <v>44593</v>
      </c>
      <c r="B210">
        <v>61141.35</v>
      </c>
      <c r="C210">
        <v>1.1900000000000001E-2</v>
      </c>
      <c r="D210">
        <f t="shared" ref="D210:D264" si="12">B210/B198-1</f>
        <v>7.3214464378807742E-2</v>
      </c>
      <c r="E210">
        <f t="shared" si="9"/>
        <v>2.5999999999999999E-3</v>
      </c>
      <c r="F210" s="49">
        <f t="shared" si="11"/>
        <v>4.606867862728465E-2</v>
      </c>
      <c r="H210" s="47"/>
      <c r="I210" s="47"/>
      <c r="J210" s="47"/>
      <c r="K210" s="1"/>
      <c r="Q210">
        <v>1.1900000000000001E-2</v>
      </c>
      <c r="S210" s="57"/>
    </row>
    <row r="211" spans="1:19">
      <c r="A211" s="45">
        <v>44621</v>
      </c>
      <c r="B211">
        <v>64900.36</v>
      </c>
      <c r="C211">
        <v>1.4999999999999999E-2</v>
      </c>
      <c r="D211">
        <f t="shared" si="12"/>
        <v>0.11740158225941144</v>
      </c>
      <c r="E211">
        <f t="shared" ref="E211:E264" si="13">C199</f>
        <v>2E-3</v>
      </c>
      <c r="F211" s="49">
        <f t="shared" si="11"/>
        <v>7.2244282688980199E-2</v>
      </c>
      <c r="H211" s="47"/>
      <c r="I211" s="47"/>
      <c r="J211" s="47"/>
      <c r="K211" s="1"/>
      <c r="Q211">
        <v>1.4999999999999999E-2</v>
      </c>
      <c r="S211" s="57"/>
    </row>
    <row r="212" spans="1:19">
      <c r="A212" s="45">
        <v>44652</v>
      </c>
      <c r="B212">
        <v>57754.98</v>
      </c>
      <c r="C212">
        <v>2.0299999999999999E-2</v>
      </c>
      <c r="D212">
        <f t="shared" si="12"/>
        <v>-5.0247366616483435E-2</v>
      </c>
      <c r="E212">
        <f t="shared" si="13"/>
        <v>1.8E-3</v>
      </c>
      <c r="F212" s="49">
        <f t="shared" si="11"/>
        <v>-2.8595086636556726E-2</v>
      </c>
      <c r="H212" s="47"/>
      <c r="I212" s="47"/>
      <c r="J212" s="47"/>
      <c r="K212" s="1"/>
      <c r="Q212">
        <v>2.0299999999999999E-2</v>
      </c>
      <c r="S212" s="57"/>
    </row>
    <row r="213" spans="1:19">
      <c r="A213" s="45">
        <v>44682</v>
      </c>
      <c r="B213">
        <v>57432.29</v>
      </c>
      <c r="C213">
        <v>3.4200000000000001E-2</v>
      </c>
      <c r="D213">
        <f t="shared" si="12"/>
        <v>-0.13355146307496868</v>
      </c>
      <c r="E213">
        <f t="shared" si="13"/>
        <v>2.0999999999999999E-3</v>
      </c>
      <c r="F213" s="49">
        <f t="shared" si="11"/>
        <v>-7.8714211178314536E-2</v>
      </c>
      <c r="H213" s="47"/>
      <c r="I213" s="47"/>
      <c r="J213" s="47"/>
      <c r="K213" s="1"/>
      <c r="Q213">
        <v>3.4200000000000001E-2</v>
      </c>
      <c r="S213" s="57"/>
    </row>
    <row r="214" spans="1:19">
      <c r="A214" s="45">
        <v>44713</v>
      </c>
      <c r="B214">
        <v>53573.42</v>
      </c>
      <c r="C214">
        <v>4.5499999999999999E-2</v>
      </c>
      <c r="D214">
        <f t="shared" si="12"/>
        <v>-0.18910727424391016</v>
      </c>
      <c r="E214">
        <f t="shared" si="13"/>
        <v>2.2000000000000001E-3</v>
      </c>
      <c r="F214" s="49">
        <f t="shared" si="11"/>
        <v>-0.11212103121301276</v>
      </c>
      <c r="H214" s="47"/>
      <c r="I214" s="47"/>
      <c r="J214" s="47"/>
      <c r="K214" s="1"/>
      <c r="Q214">
        <v>4.5499999999999999E-2</v>
      </c>
      <c r="S214" s="57"/>
    </row>
    <row r="215" spans="1:19">
      <c r="A215" s="45">
        <v>44743</v>
      </c>
      <c r="B215">
        <v>55007.360000000001</v>
      </c>
      <c r="C215">
        <v>4.9000000000000002E-2</v>
      </c>
      <c r="D215">
        <f t="shared" si="12"/>
        <v>-0.18673821427172166</v>
      </c>
      <c r="E215">
        <f t="shared" si="13"/>
        <v>2.2000000000000001E-3</v>
      </c>
      <c r="F215" s="49">
        <f t="shared" si="11"/>
        <v>-0.11074626189636633</v>
      </c>
      <c r="H215" s="47"/>
      <c r="I215" s="47"/>
      <c r="J215" s="47"/>
      <c r="K215" s="1"/>
      <c r="Q215">
        <v>4.9000000000000002E-2</v>
      </c>
      <c r="S215" s="57"/>
    </row>
    <row r="216" spans="1:19">
      <c r="A216" s="45">
        <v>44774</v>
      </c>
      <c r="B216">
        <v>50174.09</v>
      </c>
      <c r="C216">
        <v>5.2499999999999998E-2</v>
      </c>
      <c r="D216">
        <f t="shared" si="12"/>
        <v>-0.2926267602704915</v>
      </c>
      <c r="E216">
        <f t="shared" si="13"/>
        <v>2.3E-3</v>
      </c>
      <c r="F216" s="49">
        <f t="shared" si="11"/>
        <v>-0.17430938949562824</v>
      </c>
      <c r="H216" s="47"/>
      <c r="I216" s="47"/>
      <c r="J216" s="47"/>
      <c r="K216" s="1"/>
      <c r="Q216">
        <v>5.2499999999999998E-2</v>
      </c>
      <c r="S216" s="57"/>
    </row>
    <row r="217" spans="1:19">
      <c r="A217" s="45">
        <v>44805</v>
      </c>
      <c r="B217">
        <v>45970.64</v>
      </c>
      <c r="C217">
        <v>5.5599999999999997E-2</v>
      </c>
      <c r="D217">
        <f t="shared" si="12"/>
        <v>-0.34645894292449653</v>
      </c>
      <c r="E217">
        <f t="shared" si="13"/>
        <v>2.8999999999999998E-3</v>
      </c>
      <c r="F217" s="49">
        <f t="shared" si="11"/>
        <v>-0.20667536575469792</v>
      </c>
      <c r="H217" s="47"/>
      <c r="I217" s="47"/>
      <c r="J217" s="47"/>
      <c r="K217" s="1"/>
      <c r="Q217">
        <v>5.5599999999999997E-2</v>
      </c>
      <c r="S217" s="57"/>
    </row>
    <row r="218" spans="1:19">
      <c r="A218" s="45">
        <v>44835</v>
      </c>
      <c r="B218">
        <v>50432.55</v>
      </c>
      <c r="C218">
        <v>5.6800000000000003E-2</v>
      </c>
      <c r="D218">
        <f t="shared" si="12"/>
        <v>-0.3146477497447896</v>
      </c>
      <c r="E218">
        <f t="shared" si="13"/>
        <v>3.5000000000000001E-3</v>
      </c>
      <c r="F218" s="49">
        <f t="shared" si="11"/>
        <v>-0.18761198318020708</v>
      </c>
      <c r="H218" s="47"/>
      <c r="I218" s="47"/>
      <c r="J218" s="47"/>
      <c r="K218" s="1"/>
      <c r="Q218">
        <v>5.6800000000000003E-2</v>
      </c>
      <c r="S218" s="57"/>
    </row>
    <row r="219" spans="1:19">
      <c r="A219" s="45">
        <v>44866</v>
      </c>
      <c r="B219">
        <v>56058.18</v>
      </c>
      <c r="C219">
        <v>6.0699999999999997E-2</v>
      </c>
      <c r="D219">
        <f t="shared" si="12"/>
        <v>-0.17336472860163898</v>
      </c>
      <c r="E219">
        <f t="shared" si="13"/>
        <v>4.4000000000000003E-3</v>
      </c>
      <c r="F219" s="49">
        <f t="shared" si="11"/>
        <v>-0.10284217049431671</v>
      </c>
      <c r="H219" s="47"/>
      <c r="I219" s="47"/>
      <c r="J219" s="47"/>
      <c r="K219" s="1"/>
      <c r="Q219">
        <v>6.0699999999999997E-2</v>
      </c>
      <c r="S219" s="57"/>
    </row>
    <row r="220" spans="1:19" s="49" customFormat="1">
      <c r="A220" s="48">
        <v>44896</v>
      </c>
      <c r="B220" s="49">
        <v>57462.68</v>
      </c>
      <c r="C220" s="49">
        <v>6.25E-2</v>
      </c>
      <c r="D220" s="49">
        <f t="shared" si="12"/>
        <v>-0.17076794620662061</v>
      </c>
      <c r="E220" s="49">
        <f t="shared" si="13"/>
        <v>6.7999999999999996E-3</v>
      </c>
      <c r="F220" s="49">
        <f t="shared" si="11"/>
        <v>-0.10122743439063903</v>
      </c>
      <c r="H220" s="50"/>
      <c r="I220" s="50">
        <f>$I$2*(1+D220)</f>
        <v>99507.846455205523</v>
      </c>
      <c r="J220" s="50">
        <f>$J$2*(1+E220)</f>
        <v>80544</v>
      </c>
      <c r="K220" s="51">
        <f t="shared" ref="K220:K256" si="14">I220+J220</f>
        <v>180051.84645520552</v>
      </c>
      <c r="L220" s="51">
        <f>K220-$I$3</f>
        <v>-19948.153544794477</v>
      </c>
      <c r="M220" s="1">
        <f>((J220-MIN(J220,$K$2))+(I220-MIN(I220,MAX($L$2-MIN(J220,$K$2),0))))*R220</f>
        <v>80.051846455205521</v>
      </c>
      <c r="N220" s="51">
        <f>IF(L220&gt;0,0.19*L220,0)</f>
        <v>0</v>
      </c>
      <c r="O220" s="53">
        <f>K220-M220</f>
        <v>179971.79460875032</v>
      </c>
      <c r="P220" s="53">
        <f>K220-N220</f>
        <v>180051.84645520552</v>
      </c>
      <c r="Q220">
        <v>6.25E-2</v>
      </c>
      <c r="R220">
        <f>MAX(0.19*Q206,0.1%)</f>
        <v>1E-3</v>
      </c>
      <c r="S220" s="56">
        <f>O220-P220</f>
        <v>-80.051846455200575</v>
      </c>
    </row>
    <row r="221" spans="1:19">
      <c r="A221" s="45">
        <v>44927</v>
      </c>
      <c r="B221">
        <v>61286.58</v>
      </c>
      <c r="C221">
        <v>6.0400000000000002E-2</v>
      </c>
      <c r="D221">
        <f t="shared" si="12"/>
        <v>-9.095186314835968E-2</v>
      </c>
      <c r="E221">
        <f t="shared" si="13"/>
        <v>1.0200000000000001E-2</v>
      </c>
      <c r="F221" s="49">
        <f t="shared" ref="F221:F263" si="15">0.6*D221+0.4*AVERAGE(E210:E221)</f>
        <v>-5.3137784555682473E-2</v>
      </c>
      <c r="H221" s="47"/>
      <c r="I221" s="47"/>
      <c r="J221" s="47"/>
      <c r="K221" s="1"/>
      <c r="Q221">
        <v>6.0400000000000002E-2</v>
      </c>
      <c r="S221" s="57"/>
    </row>
    <row r="222" spans="1:19">
      <c r="A222" s="45">
        <v>44958</v>
      </c>
      <c r="B222">
        <v>60181.4</v>
      </c>
      <c r="C222">
        <v>5.8099999999999999E-2</v>
      </c>
      <c r="D222">
        <f t="shared" si="12"/>
        <v>-1.5700503832512647E-2</v>
      </c>
      <c r="E222">
        <f t="shared" si="13"/>
        <v>1.1900000000000001E-2</v>
      </c>
      <c r="F222" s="49">
        <f t="shared" si="15"/>
        <v>-7.6769689661742536E-3</v>
      </c>
      <c r="H222" s="47"/>
      <c r="I222" s="47"/>
      <c r="J222" s="47"/>
      <c r="K222" s="1"/>
      <c r="Q222">
        <v>5.8099999999999999E-2</v>
      </c>
      <c r="S222" s="57"/>
    </row>
    <row r="223" spans="1:19">
      <c r="A223" s="45">
        <v>44986</v>
      </c>
      <c r="B223">
        <v>58608.76</v>
      </c>
      <c r="C223">
        <v>5.7599999999999998E-2</v>
      </c>
      <c r="D223">
        <f t="shared" si="12"/>
        <v>-9.694245147484537E-2</v>
      </c>
      <c r="E223">
        <f t="shared" si="13"/>
        <v>1.4999999999999999E-2</v>
      </c>
      <c r="F223" s="49">
        <f t="shared" si="15"/>
        <v>-5.5988804218240554E-2</v>
      </c>
      <c r="H223" s="47"/>
      <c r="I223" s="47"/>
      <c r="J223" s="47"/>
      <c r="K223" s="1"/>
      <c r="Q223">
        <v>5.7599999999999998E-2</v>
      </c>
      <c r="S223" s="57"/>
    </row>
    <row r="224" spans="1:19">
      <c r="A224" s="45">
        <v>45017</v>
      </c>
      <c r="B224">
        <v>62948.5</v>
      </c>
      <c r="C224">
        <v>5.7000000000000002E-2</v>
      </c>
      <c r="D224">
        <f t="shared" si="12"/>
        <v>8.9923327823851595E-2</v>
      </c>
      <c r="E224">
        <f t="shared" si="13"/>
        <v>2.0299999999999999E-2</v>
      </c>
      <c r="F224" s="49">
        <f t="shared" si="15"/>
        <v>5.6747330027644288E-2</v>
      </c>
      <c r="H224" s="47"/>
      <c r="I224" s="47"/>
      <c r="J224" s="47"/>
      <c r="K224" s="1"/>
      <c r="Q224">
        <v>5.7000000000000002E-2</v>
      </c>
      <c r="S224" s="57"/>
    </row>
    <row r="225" spans="1:19">
      <c r="A225" s="45">
        <v>45047</v>
      </c>
      <c r="B225">
        <v>62285.97</v>
      </c>
      <c r="C225">
        <v>5.6800000000000003E-2</v>
      </c>
      <c r="D225">
        <f t="shared" si="12"/>
        <v>8.4511343705779396E-2</v>
      </c>
      <c r="E225">
        <f t="shared" si="13"/>
        <v>3.4200000000000001E-2</v>
      </c>
      <c r="F225" s="49">
        <f t="shared" si="15"/>
        <v>5.457013955680097E-2</v>
      </c>
      <c r="H225" s="47"/>
      <c r="I225" s="47"/>
      <c r="J225" s="47"/>
      <c r="K225" s="1"/>
      <c r="Q225">
        <v>5.6800000000000003E-2</v>
      </c>
      <c r="S225" s="57"/>
    </row>
    <row r="226" spans="1:19">
      <c r="A226" s="45">
        <v>45078</v>
      </c>
      <c r="B226">
        <v>67283.22</v>
      </c>
      <c r="C226">
        <v>5.8000000000000003E-2</v>
      </c>
      <c r="D226">
        <f t="shared" si="12"/>
        <v>0.25590675375960692</v>
      </c>
      <c r="E226">
        <f t="shared" si="13"/>
        <v>4.5499999999999999E-2</v>
      </c>
      <c r="F226" s="49">
        <f t="shared" si="15"/>
        <v>0.1588507189224308</v>
      </c>
      <c r="H226" s="47"/>
      <c r="I226" s="47"/>
      <c r="J226" s="47"/>
      <c r="K226" s="1"/>
      <c r="Q226">
        <v>5.8000000000000003E-2</v>
      </c>
      <c r="S226" s="57"/>
    </row>
    <row r="227" spans="1:19">
      <c r="A227" s="45">
        <v>45108</v>
      </c>
      <c r="B227">
        <v>72268.53</v>
      </c>
      <c r="C227">
        <v>5.5300000000000002E-2</v>
      </c>
      <c r="D227">
        <f t="shared" si="12"/>
        <v>0.31379746273953146</v>
      </c>
      <c r="E227">
        <f t="shared" si="13"/>
        <v>4.9000000000000002E-2</v>
      </c>
      <c r="F227" s="49">
        <f t="shared" si="15"/>
        <v>0.19514514431038554</v>
      </c>
      <c r="H227" s="47"/>
      <c r="I227" s="47"/>
      <c r="J227" s="47"/>
      <c r="K227" s="1"/>
      <c r="Q227">
        <v>5.5300000000000002E-2</v>
      </c>
      <c r="S227" s="57"/>
    </row>
    <row r="228" spans="1:19">
      <c r="A228" s="45">
        <v>45139</v>
      </c>
      <c r="B228">
        <v>68431.460000000006</v>
      </c>
      <c r="C228">
        <v>5.28E-2</v>
      </c>
      <c r="D228">
        <f t="shared" si="12"/>
        <v>0.36388044108024697</v>
      </c>
      <c r="E228">
        <f t="shared" si="13"/>
        <v>5.2499999999999998E-2</v>
      </c>
      <c r="F228" s="49">
        <f t="shared" si="15"/>
        <v>0.22686826464814816</v>
      </c>
      <c r="H228" s="47"/>
      <c r="I228" s="47"/>
      <c r="J228" s="47"/>
      <c r="K228" s="1"/>
      <c r="Q228">
        <v>5.28E-2</v>
      </c>
      <c r="S228" s="57"/>
    </row>
    <row r="229" spans="1:19">
      <c r="A229" s="45">
        <v>45170</v>
      </c>
      <c r="B229">
        <v>65397.43</v>
      </c>
      <c r="C229">
        <v>4.9599999999999998E-2</v>
      </c>
      <c r="D229">
        <f t="shared" si="12"/>
        <v>0.4225912451947591</v>
      </c>
      <c r="E229">
        <f t="shared" si="13"/>
        <v>5.5599999999999997E-2</v>
      </c>
      <c r="F229" s="49">
        <f t="shared" si="15"/>
        <v>0.26385141378352212</v>
      </c>
      <c r="H229" s="47"/>
      <c r="I229" s="47"/>
      <c r="J229" s="47"/>
      <c r="K229" s="1"/>
      <c r="Q229">
        <v>4.9599999999999998E-2</v>
      </c>
      <c r="S229" s="57"/>
    </row>
    <row r="230" spans="1:19">
      <c r="A230" s="45">
        <v>45200</v>
      </c>
      <c r="B230">
        <v>71582.259999999995</v>
      </c>
      <c r="C230">
        <v>4.6100000000000002E-2</v>
      </c>
      <c r="D230">
        <f t="shared" si="12"/>
        <v>0.41936626246342867</v>
      </c>
      <c r="E230">
        <f t="shared" si="13"/>
        <v>5.6800000000000003E-2</v>
      </c>
      <c r="F230" s="49">
        <f t="shared" si="15"/>
        <v>0.26369309081139053</v>
      </c>
      <c r="H230" s="47"/>
      <c r="I230" s="47"/>
      <c r="J230" s="47"/>
      <c r="K230" s="1"/>
      <c r="Q230">
        <v>4.6100000000000002E-2</v>
      </c>
      <c r="S230" s="57"/>
    </row>
    <row r="231" spans="1:19">
      <c r="A231" s="45">
        <v>45231</v>
      </c>
      <c r="B231">
        <v>74264.070000000007</v>
      </c>
      <c r="C231">
        <v>4.4999999999999998E-2</v>
      </c>
      <c r="D231">
        <f t="shared" si="12"/>
        <v>0.32476776805811403</v>
      </c>
      <c r="E231">
        <f t="shared" si="13"/>
        <v>6.0699999999999997E-2</v>
      </c>
      <c r="F231" s="49">
        <f t="shared" si="15"/>
        <v>0.20881066083486841</v>
      </c>
      <c r="H231" s="47"/>
      <c r="I231" s="47"/>
      <c r="J231" s="47"/>
      <c r="K231" s="1"/>
      <c r="Q231">
        <v>4.4999999999999998E-2</v>
      </c>
      <c r="S231" s="57"/>
    </row>
    <row r="232" spans="1:19" s="49" customFormat="1">
      <c r="A232" s="48">
        <v>45261</v>
      </c>
      <c r="B232" s="49">
        <v>78459.91</v>
      </c>
      <c r="C232" s="49">
        <v>4.41E-2</v>
      </c>
      <c r="D232" s="49">
        <f t="shared" si="12"/>
        <v>0.3654063820204696</v>
      </c>
      <c r="E232" s="49">
        <f t="shared" si="13"/>
        <v>6.25E-2</v>
      </c>
      <c r="F232" s="49">
        <f t="shared" si="15"/>
        <v>0.23505049587894841</v>
      </c>
      <c r="H232" s="50"/>
      <c r="I232" s="50">
        <f>$I$2*(1+D232)</f>
        <v>163848.76584245634</v>
      </c>
      <c r="J232" s="50">
        <f>$J$2*(1+E232)</f>
        <v>85000</v>
      </c>
      <c r="K232" s="51">
        <f t="shared" si="14"/>
        <v>248848.76584245634</v>
      </c>
      <c r="L232" s="51">
        <f>K232-$I$3</f>
        <v>48848.765842456341</v>
      </c>
      <c r="M232" s="1">
        <f>((J232-MIN(J232,$K$2))+(I232-MIN(I232,MAX($L$2-MIN(J232,$K$2),0))))*R232</f>
        <v>1606.375880971789</v>
      </c>
      <c r="N232" s="51">
        <f>IF(L232&gt;0,0.19*L232,0)</f>
        <v>9281.2655100667052</v>
      </c>
      <c r="O232" s="53">
        <f>K232-M232</f>
        <v>247242.38996148456</v>
      </c>
      <c r="P232" s="53">
        <f>K232-N232</f>
        <v>239567.50033238964</v>
      </c>
      <c r="Q232">
        <v>4.41E-2</v>
      </c>
      <c r="R232">
        <f>MAX(0.19*Q218,0.1%)</f>
        <v>1.0792000000000001E-2</v>
      </c>
      <c r="S232" s="56">
        <f>O232-P232</f>
        <v>7674.8896290949197</v>
      </c>
    </row>
    <row r="233" spans="1:19">
      <c r="A233" s="45">
        <v>45292</v>
      </c>
      <c r="B233">
        <v>77416.31</v>
      </c>
      <c r="C233">
        <v>4.4200000000000003E-2</v>
      </c>
      <c r="D233">
        <f t="shared" si="12"/>
        <v>0.26318534987594333</v>
      </c>
      <c r="E233">
        <f t="shared" si="13"/>
        <v>6.0400000000000002E-2</v>
      </c>
      <c r="F233" s="49">
        <f t="shared" si="15"/>
        <v>0.17539120992556598</v>
      </c>
      <c r="H233" s="47"/>
      <c r="I233" s="47"/>
      <c r="J233" s="47"/>
      <c r="K233" s="1"/>
      <c r="Q233">
        <v>4.4200000000000003E-2</v>
      </c>
      <c r="S233" s="57"/>
    </row>
    <row r="234" spans="1:19">
      <c r="A234" s="45">
        <v>45323</v>
      </c>
      <c r="B234">
        <v>81944.56</v>
      </c>
      <c r="C234">
        <v>4.3799999999999999E-2</v>
      </c>
      <c r="D234">
        <f t="shared" si="12"/>
        <v>0.36162601734090583</v>
      </c>
      <c r="E234">
        <f t="shared" si="13"/>
        <v>5.8099999999999999E-2</v>
      </c>
      <c r="F234" s="49">
        <f t="shared" si="15"/>
        <v>0.2359956104045435</v>
      </c>
      <c r="H234" s="47"/>
      <c r="I234" s="47"/>
      <c r="J234" s="47"/>
      <c r="K234" s="1"/>
      <c r="Q234">
        <v>4.3799999999999999E-2</v>
      </c>
      <c r="S234" s="57"/>
    </row>
    <row r="235" spans="1:19">
      <c r="A235" s="45">
        <v>45352</v>
      </c>
      <c r="B235">
        <v>82745.58</v>
      </c>
      <c r="C235">
        <v>4.2999999999999997E-2</v>
      </c>
      <c r="D235">
        <f t="shared" si="12"/>
        <v>0.41182956267970861</v>
      </c>
      <c r="E235">
        <f t="shared" si="13"/>
        <v>5.7599999999999998E-2</v>
      </c>
      <c r="F235" s="49">
        <f t="shared" si="15"/>
        <v>0.26753773760782518</v>
      </c>
      <c r="H235" s="47"/>
      <c r="I235" s="47"/>
      <c r="J235" s="47"/>
      <c r="K235" s="1"/>
      <c r="Q235">
        <v>4.2999999999999997E-2</v>
      </c>
      <c r="S235" s="57"/>
    </row>
    <row r="236" spans="1:19">
      <c r="A236" s="45">
        <v>45383</v>
      </c>
      <c r="B236">
        <v>84569.65</v>
      </c>
      <c r="C236">
        <v>4.1799999999999997E-2</v>
      </c>
      <c r="D236">
        <f t="shared" si="12"/>
        <v>0.34347363320809854</v>
      </c>
      <c r="E236">
        <f t="shared" si="13"/>
        <v>5.7000000000000002E-2</v>
      </c>
      <c r="F236" s="49">
        <f t="shared" si="15"/>
        <v>0.22774751325819245</v>
      </c>
      <c r="H236" s="47"/>
      <c r="I236" s="47"/>
      <c r="J236" s="47"/>
      <c r="K236" s="1"/>
      <c r="Q236">
        <v>4.1799999999999997E-2</v>
      </c>
      <c r="S236" s="57"/>
    </row>
    <row r="237" spans="1:19">
      <c r="A237" s="45">
        <v>45413</v>
      </c>
      <c r="B237">
        <v>86315.26</v>
      </c>
      <c r="C237">
        <v>4.1399999999999999E-2</v>
      </c>
      <c r="D237">
        <f t="shared" si="12"/>
        <v>0.38578976934934128</v>
      </c>
      <c r="E237">
        <f t="shared" si="13"/>
        <v>5.6800000000000003E-2</v>
      </c>
      <c r="F237" s="49">
        <f t="shared" si="15"/>
        <v>0.25389052827627145</v>
      </c>
      <c r="H237" s="47"/>
      <c r="I237" s="47"/>
      <c r="J237" s="47"/>
      <c r="K237" s="1"/>
      <c r="Q237">
        <v>4.1399999999999999E-2</v>
      </c>
      <c r="S237" s="57"/>
    </row>
    <row r="238" spans="1:19">
      <c r="A238" s="45">
        <v>45444</v>
      </c>
      <c r="B238">
        <v>88613.67</v>
      </c>
      <c r="C238">
        <v>4.1200000000000001E-2</v>
      </c>
      <c r="D238">
        <f t="shared" si="12"/>
        <v>0.31702480945471989</v>
      </c>
      <c r="E238">
        <f t="shared" si="13"/>
        <v>5.8000000000000003E-2</v>
      </c>
      <c r="F238" s="49">
        <f t="shared" si="15"/>
        <v>0.21304821900616527</v>
      </c>
      <c r="H238" s="47"/>
      <c r="I238" s="47"/>
      <c r="J238" s="47"/>
      <c r="K238" s="1"/>
      <c r="Q238">
        <v>4.1200000000000001E-2</v>
      </c>
      <c r="S238" s="57"/>
    </row>
    <row r="239" spans="1:19">
      <c r="A239" s="45">
        <v>45474</v>
      </c>
      <c r="B239">
        <v>84345.7</v>
      </c>
      <c r="C239">
        <v>4.1399999999999999E-2</v>
      </c>
      <c r="D239">
        <f t="shared" si="12"/>
        <v>0.16711520214953857</v>
      </c>
      <c r="E239">
        <f t="shared" si="13"/>
        <v>5.5300000000000002E-2</v>
      </c>
      <c r="F239" s="49">
        <f t="shared" si="15"/>
        <v>0.12331245462305647</v>
      </c>
      <c r="H239" s="47"/>
      <c r="I239" s="47"/>
      <c r="J239" s="47"/>
      <c r="K239" s="1"/>
      <c r="Q239">
        <v>4.1399999999999999E-2</v>
      </c>
      <c r="S239" s="57"/>
    </row>
    <row r="240" spans="1:19">
      <c r="A240" s="45">
        <v>45505</v>
      </c>
      <c r="B240">
        <v>84868.25</v>
      </c>
      <c r="C240">
        <v>4.0800000000000003E-2</v>
      </c>
      <c r="D240">
        <f t="shared" si="12"/>
        <v>0.24019347241751077</v>
      </c>
      <c r="E240">
        <f t="shared" si="13"/>
        <v>5.28E-2</v>
      </c>
      <c r="F240" s="49">
        <f t="shared" si="15"/>
        <v>0.16716941678383979</v>
      </c>
      <c r="H240" s="47"/>
      <c r="I240" s="47"/>
      <c r="J240" s="47"/>
      <c r="K240" s="1"/>
      <c r="Q240">
        <v>4.0800000000000003E-2</v>
      </c>
      <c r="S240" s="57"/>
    </row>
    <row r="241" spans="1:19">
      <c r="A241" s="45">
        <v>45536</v>
      </c>
      <c r="B241">
        <v>83274.2</v>
      </c>
      <c r="C241">
        <v>4.0599999999999997E-2</v>
      </c>
      <c r="D241">
        <f t="shared" si="12"/>
        <v>0.27335584899895915</v>
      </c>
      <c r="E241">
        <f t="shared" si="13"/>
        <v>4.9599999999999998E-2</v>
      </c>
      <c r="F241" s="49">
        <f t="shared" si="15"/>
        <v>0.18686684273270882</v>
      </c>
      <c r="H241" s="47"/>
      <c r="I241" s="47"/>
      <c r="J241" s="47"/>
      <c r="K241" s="1"/>
      <c r="Q241">
        <v>4.0599999999999997E-2</v>
      </c>
      <c r="S241" s="57"/>
    </row>
    <row r="242" spans="1:19">
      <c r="A242" s="45">
        <v>45566</v>
      </c>
      <c r="B242">
        <v>79550.320000000007</v>
      </c>
      <c r="C242">
        <v>0.04</v>
      </c>
      <c r="D242">
        <f t="shared" si="12"/>
        <v>0.11131333377850905</v>
      </c>
      <c r="E242">
        <f t="shared" si="13"/>
        <v>4.6100000000000002E-2</v>
      </c>
      <c r="F242" s="49">
        <f t="shared" si="15"/>
        <v>8.9284666933772086E-2</v>
      </c>
      <c r="H242" s="47"/>
      <c r="I242" s="47"/>
      <c r="J242" s="47"/>
      <c r="K242" s="1"/>
      <c r="Q242">
        <v>0.04</v>
      </c>
      <c r="S242" s="57"/>
    </row>
    <row r="243" spans="1:19">
      <c r="A243" s="45">
        <v>45597</v>
      </c>
      <c r="B243">
        <v>79369.820000000007</v>
      </c>
      <c r="C243">
        <v>3.9600000000000003E-2</v>
      </c>
      <c r="D243">
        <f t="shared" si="12"/>
        <v>6.8751281743647974E-2</v>
      </c>
      <c r="E243">
        <f t="shared" si="13"/>
        <v>4.4999999999999998E-2</v>
      </c>
      <c r="F243" s="49">
        <f t="shared" si="15"/>
        <v>6.3224102379522112E-2</v>
      </c>
      <c r="H243" s="47"/>
      <c r="I243" s="47"/>
      <c r="J243" s="47"/>
      <c r="K243" s="1"/>
      <c r="Q243">
        <v>3.9600000000000003E-2</v>
      </c>
      <c r="S243" s="57"/>
    </row>
    <row r="244" spans="1:19" s="49" customFormat="1">
      <c r="A244" s="48">
        <v>45627</v>
      </c>
      <c r="B244" s="49">
        <v>79577.320000000007</v>
      </c>
      <c r="C244" s="49">
        <v>3.95E-2</v>
      </c>
      <c r="D244" s="49">
        <f t="shared" si="12"/>
        <v>1.4241795587071282E-2</v>
      </c>
      <c r="E244" s="49">
        <f t="shared" si="13"/>
        <v>4.41E-2</v>
      </c>
      <c r="F244" s="49">
        <f t="shared" si="15"/>
        <v>2.9905077352242772E-2</v>
      </c>
      <c r="H244" s="50"/>
      <c r="I244" s="50">
        <f>$I$2*(1+D244)</f>
        <v>121709.01547044855</v>
      </c>
      <c r="J244" s="50">
        <f>$J$2*(1+E244)</f>
        <v>83528</v>
      </c>
      <c r="K244" s="51">
        <f t="shared" si="14"/>
        <v>205237.01547044853</v>
      </c>
      <c r="L244" s="51">
        <f>K244-$I$3</f>
        <v>5237.0154704485321</v>
      </c>
      <c r="M244" s="1">
        <f>((J244-MIN(J244,$K$2))+(I244-MIN(I244,MAX($L$2-MIN(J244,$K$2),0))))*R244</f>
        <v>921.77101850565896</v>
      </c>
      <c r="N244" s="51">
        <f>IF(L244&gt;0,0.19*L244,0)</f>
        <v>995.03293938522108</v>
      </c>
      <c r="O244" s="53">
        <f>K244-M244</f>
        <v>204315.24445194288</v>
      </c>
      <c r="P244" s="53">
        <f>K244-N244</f>
        <v>204241.98253106332</v>
      </c>
      <c r="Q244">
        <v>3.95E-2</v>
      </c>
      <c r="R244">
        <f>MAX(0.19*Q230,0.1%)</f>
        <v>8.7590000000000012E-3</v>
      </c>
      <c r="S244" s="56">
        <f>O244-P244</f>
        <v>73.261920879565878</v>
      </c>
    </row>
    <row r="245" spans="1:19">
      <c r="A245" s="45">
        <v>45658</v>
      </c>
      <c r="B245">
        <v>87367.57</v>
      </c>
      <c r="C245">
        <v>4.07E-2</v>
      </c>
      <c r="D245">
        <f t="shared" si="12"/>
        <v>0.12854216378951677</v>
      </c>
      <c r="E245">
        <f t="shared" si="13"/>
        <v>4.4200000000000003E-2</v>
      </c>
      <c r="F245" s="49">
        <f t="shared" si="15"/>
        <v>9.7945298273710069E-2</v>
      </c>
      <c r="H245" s="47"/>
      <c r="I245" s="47"/>
      <c r="J245" s="47"/>
      <c r="K245" s="1"/>
      <c r="Q245">
        <v>4.07E-2</v>
      </c>
      <c r="S245" s="57"/>
    </row>
    <row r="246" spans="1:19">
      <c r="A246" s="45">
        <v>45689</v>
      </c>
      <c r="B246">
        <v>91996.4</v>
      </c>
      <c r="C246">
        <v>4.0399999999999998E-2</v>
      </c>
      <c r="D246">
        <f t="shared" si="12"/>
        <v>0.12266634905355511</v>
      </c>
      <c r="E246">
        <f t="shared" si="13"/>
        <v>4.3799999999999999E-2</v>
      </c>
      <c r="F246" s="49">
        <f t="shared" si="15"/>
        <v>9.3943142765466406E-2</v>
      </c>
      <c r="H246" s="47"/>
      <c r="I246" s="47"/>
      <c r="J246" s="47"/>
      <c r="K246" s="1"/>
      <c r="Q246">
        <v>4.0399999999999998E-2</v>
      </c>
      <c r="S246" s="57"/>
    </row>
    <row r="247" spans="1:19">
      <c r="A247" s="45">
        <v>45717</v>
      </c>
      <c r="B247">
        <v>95953.33</v>
      </c>
      <c r="C247">
        <v>4.0500000000000001E-2</v>
      </c>
      <c r="D247">
        <f t="shared" si="12"/>
        <v>0.15961879776539112</v>
      </c>
      <c r="E247">
        <f t="shared" si="13"/>
        <v>4.2999999999999997E-2</v>
      </c>
      <c r="F247" s="49">
        <f t="shared" si="15"/>
        <v>0.11562794532590134</v>
      </c>
      <c r="H247" s="47"/>
      <c r="I247" s="47"/>
      <c r="J247" s="47"/>
      <c r="K247" s="1"/>
      <c r="Q247">
        <v>4.0500000000000001E-2</v>
      </c>
      <c r="S247" s="57"/>
    </row>
    <row r="248" spans="1:19">
      <c r="A248" s="45">
        <v>45748</v>
      </c>
      <c r="B248">
        <v>98722.91</v>
      </c>
      <c r="C248">
        <v>4.0500000000000001E-2</v>
      </c>
      <c r="D248">
        <f t="shared" si="12"/>
        <v>0.16735625605639859</v>
      </c>
      <c r="E248">
        <f t="shared" si="13"/>
        <v>4.1799999999999997E-2</v>
      </c>
      <c r="F248" s="49">
        <f t="shared" si="15"/>
        <v>0.11976375363383915</v>
      </c>
      <c r="H248" s="47"/>
      <c r="I248" s="47"/>
      <c r="J248" s="47"/>
      <c r="K248" s="1"/>
      <c r="Q248">
        <v>4.0500000000000001E-2</v>
      </c>
      <c r="S248" s="57"/>
    </row>
    <row r="249" spans="1:19">
      <c r="A249" s="45">
        <v>45778</v>
      </c>
      <c r="B249">
        <v>101476.07</v>
      </c>
      <c r="C249">
        <v>3.9300000000000002E-2</v>
      </c>
      <c r="D249">
        <f t="shared" si="12"/>
        <v>0.175644607917534</v>
      </c>
      <c r="E249">
        <f t="shared" si="13"/>
        <v>4.1399999999999999E-2</v>
      </c>
      <c r="F249" s="49">
        <f t="shared" si="15"/>
        <v>0.12422343141718707</v>
      </c>
      <c r="H249" s="47"/>
      <c r="I249" s="47"/>
      <c r="J249" s="47"/>
      <c r="K249" s="1"/>
      <c r="Q249">
        <v>3.9300000000000002E-2</v>
      </c>
      <c r="S249" s="57"/>
    </row>
    <row r="250" spans="1:19">
      <c r="A250" s="45">
        <v>45809</v>
      </c>
      <c r="B250">
        <v>104691.71</v>
      </c>
      <c r="C250">
        <v>3.8199999999999998E-2</v>
      </c>
      <c r="D250">
        <f t="shared" si="12"/>
        <v>0.18143972594747515</v>
      </c>
      <c r="E250">
        <f t="shared" si="13"/>
        <v>4.1200000000000001E-2</v>
      </c>
      <c r="F250" s="49">
        <f t="shared" si="15"/>
        <v>0.12714050223515175</v>
      </c>
      <c r="H250" s="47"/>
      <c r="I250" s="47"/>
      <c r="J250" s="47"/>
      <c r="K250" s="1"/>
      <c r="Q250">
        <v>3.8199999999999998E-2</v>
      </c>
      <c r="S250" s="57"/>
    </row>
    <row r="251" spans="1:19">
      <c r="A251" s="45">
        <v>45839</v>
      </c>
      <c r="B251">
        <v>107885.5</v>
      </c>
      <c r="C251">
        <v>3.7900000000000003E-2</v>
      </c>
      <c r="D251">
        <f t="shared" si="12"/>
        <v>0.27908713781496863</v>
      </c>
      <c r="E251">
        <f t="shared" si="13"/>
        <v>4.1399999999999999E-2</v>
      </c>
      <c r="F251" s="49">
        <f t="shared" si="15"/>
        <v>0.18526561602231451</v>
      </c>
      <c r="H251" s="47"/>
      <c r="I251" s="47"/>
      <c r="J251" s="47"/>
      <c r="K251" s="1"/>
      <c r="Q251">
        <v>3.7900000000000003E-2</v>
      </c>
      <c r="S251" s="57"/>
    </row>
    <row r="252" spans="1:19">
      <c r="A252" s="45">
        <v>45870</v>
      </c>
      <c r="B252">
        <v>104775.45</v>
      </c>
      <c r="C252">
        <v>3.73E-2</v>
      </c>
      <c r="D252">
        <f t="shared" si="12"/>
        <v>0.23456593013288241</v>
      </c>
      <c r="E252">
        <f t="shared" si="13"/>
        <v>4.0800000000000003E-2</v>
      </c>
      <c r="F252" s="49">
        <f t="shared" si="15"/>
        <v>0.15815289141306277</v>
      </c>
      <c r="H252" s="47"/>
      <c r="I252" s="47"/>
      <c r="J252" s="47"/>
      <c r="K252" s="1"/>
      <c r="Q252">
        <v>3.73E-2</v>
      </c>
      <c r="S252" s="57"/>
    </row>
    <row r="253" spans="1:19">
      <c r="A253" s="45">
        <v>45901</v>
      </c>
      <c r="B253">
        <v>106363.86</v>
      </c>
      <c r="C253">
        <v>3.61E-2</v>
      </c>
      <c r="D253">
        <f t="shared" si="12"/>
        <v>0.27727267268853995</v>
      </c>
      <c r="E253">
        <f t="shared" si="13"/>
        <v>4.0599999999999997E-2</v>
      </c>
      <c r="F253" s="49">
        <f t="shared" si="15"/>
        <v>0.18347693694645731</v>
      </c>
      <c r="H253" s="47"/>
      <c r="I253" s="47"/>
      <c r="J253" s="47"/>
      <c r="K253" s="1"/>
      <c r="Q253">
        <v>3.61E-2</v>
      </c>
      <c r="S253" s="57"/>
    </row>
    <row r="254" spans="1:19">
      <c r="A254" s="45">
        <v>45931</v>
      </c>
      <c r="B254">
        <v>111487.05</v>
      </c>
      <c r="C254">
        <v>3.56E-2</v>
      </c>
      <c r="D254">
        <f t="shared" si="12"/>
        <v>0.40146576405977985</v>
      </c>
      <c r="E254">
        <f t="shared" si="13"/>
        <v>0.04</v>
      </c>
      <c r="F254" s="49">
        <f t="shared" si="15"/>
        <v>0.25778945843586787</v>
      </c>
      <c r="H254" s="47"/>
      <c r="I254" s="47"/>
      <c r="J254" s="47"/>
      <c r="K254" s="1"/>
      <c r="Q254">
        <v>3.56E-2</v>
      </c>
      <c r="S254" s="57"/>
    </row>
    <row r="255" spans="1:19">
      <c r="A255" s="45">
        <v>45962</v>
      </c>
      <c r="B255">
        <v>111866.66</v>
      </c>
      <c r="C255">
        <v>3.4599999999999999E-2</v>
      </c>
      <c r="D255">
        <f t="shared" si="12"/>
        <v>0.4094357275851197</v>
      </c>
      <c r="E255">
        <f t="shared" si="13"/>
        <v>3.9600000000000003E-2</v>
      </c>
      <c r="F255" s="49">
        <f t="shared" si="15"/>
        <v>0.26239143655107183</v>
      </c>
      <c r="H255" s="47"/>
      <c r="I255" s="47"/>
      <c r="J255" s="47"/>
      <c r="K255" s="1"/>
      <c r="Q255">
        <v>3.4599999999999999E-2</v>
      </c>
      <c r="S255" s="57"/>
    </row>
    <row r="256" spans="1:19" s="49" customFormat="1">
      <c r="A256" s="48">
        <v>45992</v>
      </c>
      <c r="B256" s="49">
        <v>117240.24</v>
      </c>
      <c r="C256" s="49">
        <v>3.3399999999999999E-2</v>
      </c>
      <c r="D256" s="49">
        <f t="shared" si="12"/>
        <v>0.47328711245867527</v>
      </c>
      <c r="E256" s="49">
        <f t="shared" si="13"/>
        <v>3.95E-2</v>
      </c>
      <c r="F256" s="49">
        <f t="shared" si="15"/>
        <v>0.30054893414187184</v>
      </c>
      <c r="H256" s="50"/>
      <c r="I256" s="50">
        <f>$I$2*(1+D256)</f>
        <v>176794.45349504103</v>
      </c>
      <c r="J256" s="50">
        <f>$J$2*(1+E256)</f>
        <v>83160</v>
      </c>
      <c r="K256" s="51">
        <f t="shared" si="14"/>
        <v>259954.45349504103</v>
      </c>
      <c r="L256" s="51">
        <f>K256-$I$3</f>
        <v>59954.453495041031</v>
      </c>
      <c r="M256" s="1">
        <f>((J256-MIN(J256,$K$2))+(I256-MIN(I256,MAX($L$2-MIN(J256,$K$2),0))))*R256</f>
        <v>1215.6538465623119</v>
      </c>
      <c r="N256" s="51">
        <f>IF(L256&gt;0,0.19*L256,0)</f>
        <v>11391.346164057795</v>
      </c>
      <c r="O256" s="53">
        <f>K256-M256</f>
        <v>258738.79964847871</v>
      </c>
      <c r="P256" s="53">
        <f>K256-N256</f>
        <v>248563.10733098324</v>
      </c>
      <c r="Q256">
        <v>3.3399999999999999E-2</v>
      </c>
      <c r="R256">
        <f>MAX(0.19*Q242,0.1%)</f>
        <v>7.6E-3</v>
      </c>
      <c r="S256" s="56">
        <f>O256-P256</f>
        <v>10175.692317495472</v>
      </c>
    </row>
    <row r="257" spans="1:17">
      <c r="A257" s="45">
        <v>46023</v>
      </c>
      <c r="B257">
        <v>124843.54</v>
      </c>
      <c r="C257">
        <v>3.2899999999999999E-2</v>
      </c>
      <c r="D257">
        <f t="shared" si="12"/>
        <v>0.42894600364872204</v>
      </c>
      <c r="E257">
        <f t="shared" si="13"/>
        <v>4.07E-2</v>
      </c>
      <c r="F257" s="49">
        <f t="shared" si="15"/>
        <v>0.27382760218923319</v>
      </c>
      <c r="H257" s="47"/>
      <c r="I257" s="47"/>
      <c r="J257" s="47"/>
      <c r="K257" s="1"/>
      <c r="Q257">
        <v>3.2899999999999999E-2</v>
      </c>
    </row>
    <row r="258" spans="1:17">
      <c r="A258" s="45">
        <v>46054</v>
      </c>
      <c r="B258">
        <v>126786.67</v>
      </c>
      <c r="C258">
        <v>3.2099999999999997E-2</v>
      </c>
      <c r="D258">
        <f t="shared" si="12"/>
        <v>0.37816990664852113</v>
      </c>
      <c r="E258">
        <f t="shared" si="13"/>
        <v>4.0399999999999998E-2</v>
      </c>
      <c r="F258" s="49">
        <f t="shared" si="15"/>
        <v>0.24324861065577935</v>
      </c>
      <c r="H258" s="47"/>
      <c r="I258" s="47"/>
      <c r="J258" s="47"/>
      <c r="K258" s="1"/>
      <c r="Q258">
        <v>3.2099999999999997E-2</v>
      </c>
    </row>
    <row r="259" spans="1:17">
      <c r="A259" s="45">
        <v>46082</v>
      </c>
      <c r="B259">
        <v>122458.57</v>
      </c>
      <c r="C259">
        <v>3.0700000000000002E-2</v>
      </c>
      <c r="D259">
        <f t="shared" si="12"/>
        <v>0.27623053832524636</v>
      </c>
      <c r="E259">
        <f t="shared" si="13"/>
        <v>4.0500000000000001E-2</v>
      </c>
      <c r="F259" s="49">
        <f t="shared" si="15"/>
        <v>0.18200165632848114</v>
      </c>
      <c r="H259" s="47"/>
      <c r="I259" s="47"/>
      <c r="J259" s="47"/>
      <c r="K259" s="1"/>
      <c r="Q259">
        <v>3.0700000000000002E-2</v>
      </c>
    </row>
    <row r="260" spans="1:17">
      <c r="A260" s="45">
        <v>46113</v>
      </c>
      <c r="B260">
        <v>128508.77</v>
      </c>
      <c r="C260">
        <v>2.98E-2</v>
      </c>
      <c r="D260">
        <f t="shared" si="12"/>
        <v>0.3017117303369603</v>
      </c>
      <c r="E260">
        <f t="shared" si="13"/>
        <v>4.0500000000000001E-2</v>
      </c>
      <c r="F260" s="49">
        <f t="shared" si="15"/>
        <v>0.19724703820217615</v>
      </c>
      <c r="H260" s="47"/>
      <c r="I260" s="47"/>
      <c r="J260" s="47"/>
      <c r="K260" s="1"/>
      <c r="Q260">
        <v>2.98E-2</v>
      </c>
    </row>
    <row r="261" spans="1:17">
      <c r="A261" s="45">
        <v>46143</v>
      </c>
      <c r="B261">
        <v>137007.44</v>
      </c>
      <c r="C261">
        <v>2.9399999999999999E-2</v>
      </c>
      <c r="D261">
        <f t="shared" si="12"/>
        <v>0.35014531012089845</v>
      </c>
      <c r="E261">
        <f t="shared" si="13"/>
        <v>3.9300000000000002E-2</v>
      </c>
      <c r="F261" s="49">
        <f t="shared" si="15"/>
        <v>0.22623718607253906</v>
      </c>
      <c r="H261" s="47"/>
      <c r="I261" s="47"/>
      <c r="J261" s="47"/>
      <c r="K261" s="1"/>
      <c r="Q261">
        <v>2.9399999999999999E-2</v>
      </c>
    </row>
    <row r="262" spans="1:17">
      <c r="A262" s="45">
        <v>46174</v>
      </c>
      <c r="B262">
        <v>135646.96</v>
      </c>
      <c r="C262">
        <v>2.9399999999999999E-2</v>
      </c>
      <c r="D262">
        <f t="shared" si="12"/>
        <v>0.29568004954738036</v>
      </c>
      <c r="E262">
        <f t="shared" si="13"/>
        <v>3.8199999999999998E-2</v>
      </c>
      <c r="F262" s="49">
        <f t="shared" si="15"/>
        <v>0.19345802972842821</v>
      </c>
      <c r="H262" s="47"/>
      <c r="I262" s="47"/>
      <c r="J262" s="47"/>
      <c r="K262" s="1"/>
      <c r="Q262">
        <v>2.9399999999999999E-2</v>
      </c>
    </row>
    <row r="263" spans="1:17">
      <c r="A263" s="45">
        <v>46204</v>
      </c>
      <c r="B263">
        <v>147400.9</v>
      </c>
      <c r="C263">
        <v>0.03</v>
      </c>
      <c r="D263">
        <f t="shared" si="12"/>
        <v>0.36627164910947241</v>
      </c>
      <c r="E263">
        <f t="shared" si="13"/>
        <v>3.7900000000000003E-2</v>
      </c>
      <c r="F263" s="49">
        <f t="shared" si="15"/>
        <v>0.23569632279901676</v>
      </c>
      <c r="H263" s="47"/>
      <c r="I263" s="47"/>
      <c r="J263" s="47"/>
      <c r="K263" s="1"/>
      <c r="Q263">
        <v>0.03</v>
      </c>
    </row>
    <row r="264" spans="1:17">
      <c r="A264" s="45">
        <v>46235</v>
      </c>
      <c r="B264">
        <v>152553.34</v>
      </c>
      <c r="D264">
        <f t="shared" si="12"/>
        <v>0.45600271819400451</v>
      </c>
      <c r="E264">
        <f t="shared" si="13"/>
        <v>3.73E-2</v>
      </c>
      <c r="I264" s="47"/>
      <c r="J264" s="47"/>
      <c r="K264" s="1"/>
    </row>
    <row r="265" spans="1:17">
      <c r="A265" s="45">
        <v>46266</v>
      </c>
      <c r="E265">
        <f>C253</f>
        <v>3.61E-2</v>
      </c>
    </row>
    <row r="266" spans="1:17">
      <c r="A266" s="45">
        <v>46296</v>
      </c>
      <c r="E266">
        <f t="shared" ref="E266:E275" si="16">C254</f>
        <v>3.56E-2</v>
      </c>
    </row>
    <row r="267" spans="1:17">
      <c r="A267" s="45">
        <v>46327</v>
      </c>
      <c r="E267">
        <f t="shared" si="16"/>
        <v>3.4599999999999999E-2</v>
      </c>
    </row>
    <row r="268" spans="1:17">
      <c r="A268" s="45">
        <v>46357</v>
      </c>
      <c r="E268">
        <f t="shared" si="16"/>
        <v>3.3399999999999999E-2</v>
      </c>
    </row>
    <row r="269" spans="1:17">
      <c r="A269" s="45">
        <v>46388</v>
      </c>
      <c r="E269">
        <f t="shared" si="16"/>
        <v>3.2899999999999999E-2</v>
      </c>
    </row>
    <row r="270" spans="1:17">
      <c r="A270" s="45">
        <v>46419</v>
      </c>
      <c r="E270">
        <f t="shared" si="16"/>
        <v>3.2099999999999997E-2</v>
      </c>
    </row>
    <row r="271" spans="1:17">
      <c r="A271" s="45">
        <v>46447</v>
      </c>
      <c r="E271">
        <f t="shared" si="16"/>
        <v>3.0700000000000002E-2</v>
      </c>
    </row>
    <row r="272" spans="1:17">
      <c r="A272" s="45">
        <v>46478</v>
      </c>
      <c r="E272">
        <f t="shared" si="16"/>
        <v>2.98E-2</v>
      </c>
    </row>
    <row r="273" spans="1:5">
      <c r="A273" s="45">
        <v>46508</v>
      </c>
      <c r="E273">
        <f t="shared" si="16"/>
        <v>2.9399999999999999E-2</v>
      </c>
    </row>
    <row r="274" spans="1:5">
      <c r="A274" s="45">
        <v>46539</v>
      </c>
      <c r="E274">
        <f t="shared" si="16"/>
        <v>2.9399999999999999E-2</v>
      </c>
    </row>
    <row r="275" spans="1:5">
      <c r="A275" s="45">
        <v>46569</v>
      </c>
      <c r="E275">
        <f t="shared" si="16"/>
        <v>0.03</v>
      </c>
    </row>
    <row r="276" spans="1:5">
      <c r="A276" s="45"/>
    </row>
    <row r="277" spans="1:5">
      <c r="A277" s="45"/>
    </row>
    <row r="278" spans="1:5">
      <c r="A278" s="45"/>
    </row>
    <row r="279" spans="1:5">
      <c r="A279" s="45"/>
    </row>
    <row r="280" spans="1:5">
      <c r="A280" s="45"/>
    </row>
    <row r="281" spans="1:5">
      <c r="A281" s="45"/>
    </row>
    <row r="282" spans="1:5">
      <c r="A282" s="45"/>
    </row>
    <row r="283" spans="1:5">
      <c r="A283" s="45"/>
    </row>
    <row r="284" spans="1:5">
      <c r="A284" s="45"/>
    </row>
    <row r="285" spans="1:5">
      <c r="A285" s="45"/>
    </row>
    <row r="286" spans="1:5">
      <c r="A286" s="45"/>
    </row>
    <row r="287" spans="1:5">
      <c r="A287" s="45"/>
    </row>
    <row r="288" spans="1:5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  <row r="1001" spans="1:1">
      <c r="A1001" s="45"/>
    </row>
    <row r="1002" spans="1:1">
      <c r="A1002" s="45"/>
    </row>
    <row r="1003" spans="1:1">
      <c r="A1003" s="45"/>
    </row>
    <row r="1004" spans="1:1">
      <c r="A1004" s="45"/>
    </row>
    <row r="1005" spans="1:1">
      <c r="A1005" s="45"/>
    </row>
    <row r="1006" spans="1:1">
      <c r="A1006" s="45"/>
    </row>
    <row r="1007" spans="1:1">
      <c r="A1007" s="45"/>
    </row>
    <row r="1008" spans="1:1">
      <c r="A1008" s="45"/>
    </row>
    <row r="1009" spans="1:1">
      <c r="A1009" s="45"/>
    </row>
    <row r="1010" spans="1:1">
      <c r="A1010" s="45"/>
    </row>
    <row r="1011" spans="1:1">
      <c r="A1011" s="45"/>
    </row>
    <row r="1012" spans="1:1">
      <c r="A1012" s="45"/>
    </row>
    <row r="1013" spans="1:1">
      <c r="A1013" s="45"/>
    </row>
    <row r="1014" spans="1:1">
      <c r="A1014" s="45"/>
    </row>
    <row r="1015" spans="1:1">
      <c r="A1015" s="45"/>
    </row>
    <row r="1016" spans="1:1">
      <c r="A1016" s="45"/>
    </row>
    <row r="1017" spans="1:1">
      <c r="A1017" s="45"/>
    </row>
    <row r="1018" spans="1:1">
      <c r="A1018" s="45"/>
    </row>
    <row r="1019" spans="1:1">
      <c r="A1019" s="45"/>
    </row>
    <row r="1020" spans="1:1">
      <c r="A1020" s="45"/>
    </row>
    <row r="1021" spans="1:1">
      <c r="A1021" s="45"/>
    </row>
    <row r="1022" spans="1:1">
      <c r="A1022" s="45"/>
    </row>
    <row r="1023" spans="1:1">
      <c r="A1023" s="45"/>
    </row>
    <row r="1024" spans="1:1">
      <c r="A1024" s="45"/>
    </row>
    <row r="1025" spans="1:1">
      <c r="A1025" s="45"/>
    </row>
    <row r="1026" spans="1:1">
      <c r="A1026" s="45"/>
    </row>
    <row r="1027" spans="1:1">
      <c r="A1027" s="45"/>
    </row>
    <row r="1028" spans="1:1">
      <c r="A1028" s="45"/>
    </row>
    <row r="1029" spans="1:1">
      <c r="A1029" s="45"/>
    </row>
    <row r="1030" spans="1:1">
      <c r="A1030" s="45"/>
    </row>
    <row r="1031" spans="1:1">
      <c r="A1031" s="45"/>
    </row>
    <row r="1032" spans="1:1">
      <c r="A1032" s="45"/>
    </row>
    <row r="1033" spans="1:1">
      <c r="A1033" s="45"/>
    </row>
    <row r="1034" spans="1:1">
      <c r="A1034" s="45"/>
    </row>
    <row r="1035" spans="1:1">
      <c r="A1035" s="45"/>
    </row>
    <row r="1036" spans="1:1">
      <c r="A1036" s="45"/>
    </row>
    <row r="1037" spans="1:1">
      <c r="A1037" s="45"/>
    </row>
    <row r="1038" spans="1:1">
      <c r="A1038" s="45"/>
    </row>
    <row r="1039" spans="1:1">
      <c r="A1039" s="45"/>
    </row>
    <row r="1040" spans="1:1">
      <c r="A1040" s="45"/>
    </row>
    <row r="1041" spans="1:1">
      <c r="A1041" s="45"/>
    </row>
    <row r="1042" spans="1:1">
      <c r="A1042" s="45"/>
    </row>
    <row r="1043" spans="1:1">
      <c r="A1043" s="45"/>
    </row>
    <row r="1044" spans="1:1">
      <c r="A1044" s="45"/>
    </row>
    <row r="1045" spans="1:1">
      <c r="A1045" s="45"/>
    </row>
    <row r="1046" spans="1:1">
      <c r="A1046" s="45"/>
    </row>
    <row r="1047" spans="1:1">
      <c r="A1047" s="45"/>
    </row>
    <row r="1048" spans="1:1">
      <c r="A1048" s="45"/>
    </row>
    <row r="1049" spans="1:1">
      <c r="A1049" s="45"/>
    </row>
    <row r="1050" spans="1:1">
      <c r="A1050" s="45"/>
    </row>
    <row r="1051" spans="1:1">
      <c r="A1051" s="45"/>
    </row>
    <row r="1052" spans="1:1">
      <c r="A1052" s="45"/>
    </row>
    <row r="1053" spans="1:1">
      <c r="A1053" s="45"/>
    </row>
    <row r="1054" spans="1:1">
      <c r="A1054" s="45"/>
    </row>
    <row r="1055" spans="1:1">
      <c r="A1055" s="45"/>
    </row>
    <row r="1056" spans="1:1">
      <c r="A1056" s="45"/>
    </row>
    <row r="1057" spans="1:1">
      <c r="A1057" s="45"/>
    </row>
    <row r="1058" spans="1:1">
      <c r="A1058" s="45"/>
    </row>
    <row r="1059" spans="1:1">
      <c r="A1059" s="45"/>
    </row>
    <row r="1060" spans="1:1">
      <c r="A1060" s="45"/>
    </row>
    <row r="1061" spans="1:1">
      <c r="A1061" s="45"/>
    </row>
    <row r="1062" spans="1:1">
      <c r="A1062" s="45"/>
    </row>
    <row r="1063" spans="1:1">
      <c r="A1063" s="45"/>
    </row>
    <row r="1064" spans="1:1">
      <c r="A1064" s="45"/>
    </row>
    <row r="1065" spans="1:1">
      <c r="A1065" s="45"/>
    </row>
    <row r="1066" spans="1:1">
      <c r="A1066" s="45"/>
    </row>
    <row r="1067" spans="1:1">
      <c r="A1067" s="45"/>
    </row>
    <row r="1068" spans="1:1">
      <c r="A1068" s="45"/>
    </row>
    <row r="1069" spans="1:1">
      <c r="A1069" s="45"/>
    </row>
    <row r="1070" spans="1:1">
      <c r="A1070" s="45"/>
    </row>
    <row r="1071" spans="1:1">
      <c r="A1071" s="45"/>
    </row>
    <row r="1072" spans="1:1">
      <c r="A1072" s="45"/>
    </row>
    <row r="1073" spans="1:1">
      <c r="A1073" s="45"/>
    </row>
    <row r="1074" spans="1:1">
      <c r="A1074" s="45"/>
    </row>
    <row r="1075" spans="1:1">
      <c r="A1075" s="45"/>
    </row>
    <row r="1076" spans="1:1">
      <c r="A1076" s="45"/>
    </row>
    <row r="1077" spans="1:1">
      <c r="A1077" s="45"/>
    </row>
    <row r="1078" spans="1:1">
      <c r="A1078" s="45"/>
    </row>
    <row r="1079" spans="1:1">
      <c r="A1079" s="45"/>
    </row>
    <row r="1080" spans="1:1">
      <c r="A1080" s="45"/>
    </row>
    <row r="1081" spans="1:1">
      <c r="A1081" s="45"/>
    </row>
    <row r="1082" spans="1:1">
      <c r="A1082" s="45"/>
    </row>
    <row r="1083" spans="1:1">
      <c r="A1083" s="45"/>
    </row>
    <row r="1084" spans="1:1">
      <c r="A1084" s="45"/>
    </row>
    <row r="1085" spans="1:1">
      <c r="A1085" s="45"/>
    </row>
    <row r="1086" spans="1:1">
      <c r="A1086" s="45"/>
    </row>
    <row r="1087" spans="1:1">
      <c r="A1087" s="45"/>
    </row>
    <row r="1088" spans="1:1">
      <c r="A1088" s="45"/>
    </row>
    <row r="1089" spans="1:1">
      <c r="A1089" s="45"/>
    </row>
    <row r="1090" spans="1:1">
      <c r="A1090" s="45"/>
    </row>
    <row r="1091" spans="1:1">
      <c r="A1091" s="45"/>
    </row>
    <row r="1092" spans="1:1">
      <c r="A1092" s="45"/>
    </row>
    <row r="1093" spans="1:1">
      <c r="A1093" s="45"/>
    </row>
    <row r="1094" spans="1:1">
      <c r="A1094" s="45"/>
    </row>
    <row r="1095" spans="1:1">
      <c r="A1095" s="45"/>
    </row>
    <row r="1096" spans="1:1">
      <c r="A1096" s="45"/>
    </row>
    <row r="1097" spans="1:1">
      <c r="A1097" s="45"/>
    </row>
    <row r="1098" spans="1:1">
      <c r="A1098" s="45"/>
    </row>
    <row r="1099" spans="1:1">
      <c r="A1099" s="45"/>
    </row>
    <row r="1100" spans="1:1">
      <c r="A1100" s="45"/>
    </row>
    <row r="1101" spans="1:1">
      <c r="A1101" s="45"/>
    </row>
    <row r="1102" spans="1:1">
      <c r="A1102" s="45"/>
    </row>
    <row r="1103" spans="1:1">
      <c r="A1103" s="45"/>
    </row>
    <row r="1104" spans="1:1">
      <c r="A1104" s="45"/>
    </row>
    <row r="1105" spans="1:1">
      <c r="A1105" s="45"/>
    </row>
    <row r="1106" spans="1:1">
      <c r="A1106" s="45"/>
    </row>
    <row r="1107" spans="1:1">
      <c r="A1107" s="45"/>
    </row>
    <row r="1108" spans="1:1">
      <c r="A1108" s="45"/>
    </row>
    <row r="1109" spans="1:1">
      <c r="A1109" s="45"/>
    </row>
    <row r="1110" spans="1:1">
      <c r="A1110" s="45"/>
    </row>
    <row r="1111" spans="1:1">
      <c r="A1111" s="45"/>
    </row>
    <row r="1112" spans="1:1">
      <c r="A1112" s="45"/>
    </row>
    <row r="1113" spans="1:1">
      <c r="A1113" s="45"/>
    </row>
    <row r="1114" spans="1:1">
      <c r="A1114" s="45"/>
    </row>
    <row r="1115" spans="1:1">
      <c r="A1115" s="45"/>
    </row>
    <row r="1116" spans="1:1">
      <c r="A1116" s="45"/>
    </row>
    <row r="1117" spans="1:1">
      <c r="A1117" s="45"/>
    </row>
    <row r="1118" spans="1:1">
      <c r="A1118" s="45"/>
    </row>
    <row r="1119" spans="1:1">
      <c r="A1119" s="45"/>
    </row>
    <row r="1120" spans="1:1">
      <c r="A1120" s="45"/>
    </row>
    <row r="1121" spans="1:1">
      <c r="A1121" s="45"/>
    </row>
    <row r="1122" spans="1:1">
      <c r="A1122" s="45"/>
    </row>
    <row r="1123" spans="1:1">
      <c r="A1123" s="45"/>
    </row>
    <row r="1124" spans="1:1">
      <c r="A1124" s="45"/>
    </row>
    <row r="1125" spans="1:1">
      <c r="A1125" s="45"/>
    </row>
    <row r="1126" spans="1:1">
      <c r="A1126" s="45"/>
    </row>
    <row r="1127" spans="1:1">
      <c r="A1127" s="45"/>
    </row>
    <row r="1128" spans="1:1">
      <c r="A1128" s="45"/>
    </row>
    <row r="1129" spans="1:1">
      <c r="A1129" s="45"/>
    </row>
    <row r="1130" spans="1:1">
      <c r="A1130" s="45"/>
    </row>
    <row r="1131" spans="1:1">
      <c r="A1131" s="45"/>
    </row>
    <row r="1132" spans="1:1">
      <c r="A1132" s="45"/>
    </row>
    <row r="1133" spans="1:1">
      <c r="A1133" s="45"/>
    </row>
    <row r="1134" spans="1:1">
      <c r="A1134" s="45"/>
    </row>
    <row r="1135" spans="1:1">
      <c r="A1135" s="45"/>
    </row>
    <row r="1136" spans="1:1">
      <c r="A1136" s="45"/>
    </row>
    <row r="1137" spans="1:1">
      <c r="A1137" s="45"/>
    </row>
    <row r="1138" spans="1:1">
      <c r="A1138" s="45"/>
    </row>
    <row r="1139" spans="1:1">
      <c r="A1139" s="45"/>
    </row>
    <row r="1140" spans="1:1">
      <c r="A1140" s="45"/>
    </row>
    <row r="1141" spans="1:1">
      <c r="A1141" s="45"/>
    </row>
    <row r="1142" spans="1:1">
      <c r="A1142" s="45"/>
    </row>
    <row r="1143" spans="1:1">
      <c r="A1143" s="45"/>
    </row>
    <row r="1144" spans="1:1">
      <c r="A1144" s="45"/>
    </row>
    <row r="1145" spans="1:1">
      <c r="A1145" s="45"/>
    </row>
    <row r="1146" spans="1:1">
      <c r="A1146" s="45"/>
    </row>
    <row r="1147" spans="1:1">
      <c r="A1147" s="45"/>
    </row>
    <row r="1148" spans="1:1">
      <c r="A1148" s="45"/>
    </row>
    <row r="1149" spans="1:1">
      <c r="A1149" s="45"/>
    </row>
    <row r="1150" spans="1:1">
      <c r="A1150" s="45"/>
    </row>
    <row r="1151" spans="1:1">
      <c r="A1151" s="45"/>
    </row>
    <row r="1152" spans="1:1">
      <c r="A1152" s="45"/>
    </row>
    <row r="1153" spans="1:1">
      <c r="A1153" s="45"/>
    </row>
    <row r="1154" spans="1:1">
      <c r="A1154" s="45"/>
    </row>
    <row r="1155" spans="1:1">
      <c r="A1155" s="45"/>
    </row>
    <row r="1156" spans="1:1">
      <c r="A1156" s="45"/>
    </row>
    <row r="1157" spans="1:1">
      <c r="A1157" s="45"/>
    </row>
    <row r="1158" spans="1:1">
      <c r="A1158" s="45"/>
    </row>
    <row r="1159" spans="1:1">
      <c r="A1159" s="45"/>
    </row>
    <row r="1160" spans="1:1">
      <c r="A1160" s="45"/>
    </row>
    <row r="1161" spans="1:1">
      <c r="A1161" s="45"/>
    </row>
    <row r="1162" spans="1:1">
      <c r="A1162" s="45"/>
    </row>
    <row r="1163" spans="1:1">
      <c r="A1163" s="45"/>
    </row>
    <row r="1164" spans="1:1">
      <c r="A1164" s="45"/>
    </row>
    <row r="1165" spans="1:1">
      <c r="A1165" s="45"/>
    </row>
    <row r="1166" spans="1:1">
      <c r="A1166" s="45"/>
    </row>
    <row r="1167" spans="1:1">
      <c r="A1167" s="45"/>
    </row>
    <row r="1168" spans="1:1">
      <c r="A1168" s="45"/>
    </row>
    <row r="1169" spans="1:1">
      <c r="A1169" s="45"/>
    </row>
    <row r="1170" spans="1:1">
      <c r="A1170" s="45"/>
    </row>
    <row r="1171" spans="1:1">
      <c r="A1171" s="45"/>
    </row>
    <row r="1172" spans="1:1">
      <c r="A1172" s="45"/>
    </row>
    <row r="1173" spans="1:1">
      <c r="A1173" s="45"/>
    </row>
    <row r="1174" spans="1:1">
      <c r="A1174" s="45"/>
    </row>
    <row r="1175" spans="1:1">
      <c r="A1175" s="45"/>
    </row>
    <row r="1176" spans="1:1">
      <c r="A1176" s="45"/>
    </row>
    <row r="1177" spans="1:1">
      <c r="A1177" s="45"/>
    </row>
    <row r="1178" spans="1:1">
      <c r="A1178" s="45"/>
    </row>
    <row r="1179" spans="1:1">
      <c r="A1179" s="45"/>
    </row>
    <row r="1180" spans="1:1">
      <c r="A1180" s="45"/>
    </row>
    <row r="1181" spans="1:1">
      <c r="A1181" s="45"/>
    </row>
    <row r="1182" spans="1:1">
      <c r="A1182" s="45"/>
    </row>
    <row r="1183" spans="1:1">
      <c r="A1183" s="45"/>
    </row>
    <row r="1184" spans="1:1">
      <c r="A1184" s="45"/>
    </row>
    <row r="1185" spans="1:1">
      <c r="A1185" s="45"/>
    </row>
    <row r="1186" spans="1:1">
      <c r="A1186" s="45"/>
    </row>
    <row r="1187" spans="1:1">
      <c r="A1187" s="45"/>
    </row>
    <row r="1188" spans="1:1">
      <c r="A1188" s="45"/>
    </row>
    <row r="1189" spans="1:1">
      <c r="A1189" s="45"/>
    </row>
    <row r="1190" spans="1:1">
      <c r="A1190" s="45"/>
    </row>
    <row r="1191" spans="1:1">
      <c r="A1191" s="45"/>
    </row>
    <row r="1192" spans="1:1">
      <c r="A1192" s="45"/>
    </row>
    <row r="1193" spans="1:1">
      <c r="A1193" s="45"/>
    </row>
    <row r="1194" spans="1:1">
      <c r="A1194" s="45"/>
    </row>
    <row r="1195" spans="1:1">
      <c r="A1195" s="45"/>
    </row>
    <row r="1196" spans="1:1">
      <c r="A1196" s="45"/>
    </row>
    <row r="1197" spans="1:1">
      <c r="A1197" s="45"/>
    </row>
    <row r="1198" spans="1:1">
      <c r="A1198" s="45"/>
    </row>
    <row r="1199" spans="1:1">
      <c r="A1199" s="45"/>
    </row>
    <row r="1200" spans="1:1">
      <c r="A1200" s="45"/>
    </row>
    <row r="1201" spans="1:1">
      <c r="A1201" s="45"/>
    </row>
    <row r="1202" spans="1:1">
      <c r="A1202" s="45"/>
    </row>
    <row r="1203" spans="1:1">
      <c r="A1203" s="45"/>
    </row>
    <row r="1204" spans="1:1">
      <c r="A1204" s="45"/>
    </row>
    <row r="1205" spans="1:1">
      <c r="A1205" s="45"/>
    </row>
    <row r="1206" spans="1:1">
      <c r="A1206" s="45"/>
    </row>
    <row r="1207" spans="1:1">
      <c r="A1207" s="45"/>
    </row>
    <row r="1208" spans="1:1">
      <c r="A1208" s="45"/>
    </row>
    <row r="1209" spans="1:1">
      <c r="A1209" s="45"/>
    </row>
    <row r="1210" spans="1:1">
      <c r="A1210" s="45"/>
    </row>
    <row r="1211" spans="1:1">
      <c r="A1211" s="45"/>
    </row>
    <row r="1212" spans="1:1">
      <c r="A1212" s="45"/>
    </row>
    <row r="1213" spans="1:1">
      <c r="A1213" s="45"/>
    </row>
    <row r="1214" spans="1:1">
      <c r="A1214" s="45"/>
    </row>
    <row r="1215" spans="1:1">
      <c r="A1215" s="45"/>
    </row>
    <row r="1216" spans="1:1">
      <c r="A1216" s="45"/>
    </row>
    <row r="1217" spans="1:1">
      <c r="A1217" s="45"/>
    </row>
    <row r="1218" spans="1:1">
      <c r="A1218" s="45"/>
    </row>
    <row r="1219" spans="1:1">
      <c r="A1219" s="45"/>
    </row>
    <row r="1220" spans="1:1">
      <c r="A1220" s="45"/>
    </row>
    <row r="1221" spans="1:1">
      <c r="A1221" s="45"/>
    </row>
    <row r="1222" spans="1:1">
      <c r="A1222" s="45"/>
    </row>
    <row r="1223" spans="1:1">
      <c r="A1223" s="45"/>
    </row>
    <row r="1224" spans="1:1">
      <c r="A1224" s="45"/>
    </row>
    <row r="1225" spans="1:1">
      <c r="A1225" s="45"/>
    </row>
    <row r="1226" spans="1:1">
      <c r="A1226" s="45"/>
    </row>
    <row r="1227" spans="1:1">
      <c r="A1227" s="45"/>
    </row>
    <row r="1228" spans="1:1">
      <c r="A1228" s="45"/>
    </row>
    <row r="1229" spans="1:1">
      <c r="A1229" s="45"/>
    </row>
    <row r="1230" spans="1:1">
      <c r="A1230" s="45"/>
    </row>
    <row r="1231" spans="1:1">
      <c r="A1231" s="45"/>
    </row>
    <row r="1232" spans="1:1">
      <c r="A1232" s="45"/>
    </row>
    <row r="1233" spans="1:1">
      <c r="A1233" s="45"/>
    </row>
    <row r="1234" spans="1:1">
      <c r="A1234" s="45"/>
    </row>
    <row r="1235" spans="1:1">
      <c r="A1235" s="45"/>
    </row>
    <row r="1236" spans="1:1">
      <c r="A1236" s="45"/>
    </row>
    <row r="1237" spans="1:1">
      <c r="A1237" s="45"/>
    </row>
    <row r="1238" spans="1:1">
      <c r="A1238" s="45"/>
    </row>
    <row r="1239" spans="1:1">
      <c r="A1239" s="45"/>
    </row>
    <row r="1240" spans="1:1">
      <c r="A1240" s="45"/>
    </row>
    <row r="1241" spans="1:1">
      <c r="A1241" s="45"/>
    </row>
    <row r="1242" spans="1:1">
      <c r="A1242" s="45"/>
    </row>
    <row r="1243" spans="1:1">
      <c r="A1243" s="45"/>
    </row>
    <row r="1244" spans="1:1">
      <c r="A1244" s="45"/>
    </row>
    <row r="1245" spans="1:1">
      <c r="A1245" s="45"/>
    </row>
    <row r="1246" spans="1:1">
      <c r="A1246" s="45"/>
    </row>
    <row r="1247" spans="1:1">
      <c r="A1247" s="45"/>
    </row>
    <row r="1248" spans="1:1">
      <c r="A1248" s="45"/>
    </row>
    <row r="1249" spans="1:1">
      <c r="A1249" s="45"/>
    </row>
    <row r="1250" spans="1:1">
      <c r="A1250" s="45"/>
    </row>
    <row r="1251" spans="1:1">
      <c r="A1251" s="45"/>
    </row>
    <row r="1252" spans="1:1">
      <c r="A1252" s="45"/>
    </row>
    <row r="1253" spans="1:1">
      <c r="A1253" s="45"/>
    </row>
    <row r="1254" spans="1:1">
      <c r="A1254" s="45"/>
    </row>
    <row r="1255" spans="1:1">
      <c r="A1255" s="45"/>
    </row>
    <row r="1256" spans="1:1">
      <c r="A1256" s="45"/>
    </row>
    <row r="1257" spans="1:1">
      <c r="A1257" s="45"/>
    </row>
    <row r="1258" spans="1:1">
      <c r="A1258" s="45"/>
    </row>
    <row r="1259" spans="1:1">
      <c r="A1259" s="45"/>
    </row>
    <row r="1260" spans="1:1">
      <c r="A1260" s="45"/>
    </row>
    <row r="1261" spans="1:1">
      <c r="A1261" s="45"/>
    </row>
    <row r="1262" spans="1:1">
      <c r="A1262" s="45"/>
    </row>
    <row r="1263" spans="1:1">
      <c r="A1263" s="45"/>
    </row>
    <row r="1264" spans="1:1">
      <c r="A1264" s="45"/>
    </row>
    <row r="1265" spans="1:1">
      <c r="A1265" s="45"/>
    </row>
    <row r="1266" spans="1:1">
      <c r="A1266" s="45"/>
    </row>
    <row r="1267" spans="1:1">
      <c r="A1267" s="45"/>
    </row>
    <row r="1268" spans="1:1">
      <c r="A1268" s="45"/>
    </row>
    <row r="1269" spans="1:1">
      <c r="A1269" s="45"/>
    </row>
    <row r="1270" spans="1:1">
      <c r="A1270" s="45"/>
    </row>
    <row r="1271" spans="1:1">
      <c r="A1271" s="45"/>
    </row>
    <row r="1272" spans="1:1">
      <c r="A1272" s="45"/>
    </row>
    <row r="1273" spans="1:1">
      <c r="A1273" s="45"/>
    </row>
    <row r="1274" spans="1:1">
      <c r="A1274" s="45"/>
    </row>
    <row r="1275" spans="1:1">
      <c r="A1275" s="45"/>
    </row>
    <row r="1276" spans="1:1">
      <c r="A1276" s="45"/>
    </row>
    <row r="1277" spans="1:1">
      <c r="A1277" s="45"/>
    </row>
    <row r="1278" spans="1:1">
      <c r="A1278" s="45"/>
    </row>
    <row r="1279" spans="1:1">
      <c r="A1279" s="45"/>
    </row>
    <row r="1280" spans="1:1">
      <c r="A1280" s="45"/>
    </row>
    <row r="1281" spans="1:1">
      <c r="A1281" s="45"/>
    </row>
    <row r="1282" spans="1:1">
      <c r="A1282" s="45"/>
    </row>
    <row r="1283" spans="1:1">
      <c r="A1283" s="45"/>
    </row>
    <row r="1284" spans="1:1">
      <c r="A1284" s="45"/>
    </row>
    <row r="1285" spans="1:1">
      <c r="A1285" s="45"/>
    </row>
    <row r="1286" spans="1:1">
      <c r="A1286" s="45"/>
    </row>
    <row r="1287" spans="1:1">
      <c r="A1287" s="45"/>
    </row>
    <row r="1288" spans="1:1">
      <c r="A1288" s="45"/>
    </row>
    <row r="1289" spans="1:1">
      <c r="A1289" s="45"/>
    </row>
    <row r="1290" spans="1:1">
      <c r="A1290" s="45"/>
    </row>
    <row r="1291" spans="1:1">
      <c r="A1291" s="45"/>
    </row>
    <row r="1292" spans="1:1">
      <c r="A1292" s="45"/>
    </row>
    <row r="1293" spans="1:1">
      <c r="A1293" s="45"/>
    </row>
    <row r="1294" spans="1:1">
      <c r="A1294" s="45"/>
    </row>
    <row r="1295" spans="1:1">
      <c r="A1295" s="45"/>
    </row>
    <row r="1296" spans="1:1">
      <c r="A1296" s="45"/>
    </row>
    <row r="1297" spans="1:1">
      <c r="A1297" s="45"/>
    </row>
    <row r="1298" spans="1:1">
      <c r="A1298" s="45"/>
    </row>
    <row r="1299" spans="1:1">
      <c r="A1299" s="45"/>
    </row>
    <row r="1300" spans="1:1">
      <c r="A1300" s="45"/>
    </row>
    <row r="1301" spans="1:1">
      <c r="A1301" s="45"/>
    </row>
    <row r="1302" spans="1:1">
      <c r="A1302" s="45"/>
    </row>
    <row r="1303" spans="1:1">
      <c r="A1303" s="45"/>
    </row>
    <row r="1304" spans="1:1">
      <c r="A1304" s="45"/>
    </row>
    <row r="1305" spans="1:1">
      <c r="A1305" s="45"/>
    </row>
    <row r="1306" spans="1:1">
      <c r="A1306" s="45"/>
    </row>
    <row r="1307" spans="1:1">
      <c r="A1307" s="45"/>
    </row>
    <row r="1308" spans="1:1">
      <c r="A1308" s="45"/>
    </row>
    <row r="1309" spans="1:1">
      <c r="A1309" s="45"/>
    </row>
    <row r="1310" spans="1:1">
      <c r="A1310" s="45"/>
    </row>
    <row r="1311" spans="1:1">
      <c r="A1311" s="45"/>
    </row>
    <row r="1312" spans="1:1">
      <c r="A1312" s="45"/>
    </row>
    <row r="1313" spans="1:1">
      <c r="A1313" s="45"/>
    </row>
    <row r="1314" spans="1:1">
      <c r="A1314" s="45"/>
    </row>
    <row r="1315" spans="1:1">
      <c r="A1315" s="45"/>
    </row>
    <row r="1316" spans="1:1">
      <c r="A1316" s="45"/>
    </row>
    <row r="1317" spans="1:1">
      <c r="A1317" s="45"/>
    </row>
    <row r="1318" spans="1:1">
      <c r="A1318" s="45"/>
    </row>
    <row r="1319" spans="1:1">
      <c r="A1319" s="45"/>
    </row>
    <row r="1320" spans="1:1">
      <c r="A1320" s="45"/>
    </row>
    <row r="1321" spans="1:1">
      <c r="A1321" s="45"/>
    </row>
    <row r="1322" spans="1:1">
      <c r="A1322" s="45"/>
    </row>
    <row r="1323" spans="1:1">
      <c r="A1323" s="45"/>
    </row>
    <row r="1324" spans="1:1">
      <c r="A1324" s="45"/>
    </row>
    <row r="1325" spans="1:1">
      <c r="A1325" s="45"/>
    </row>
    <row r="1326" spans="1:1">
      <c r="A1326" s="45"/>
    </row>
    <row r="1327" spans="1:1">
      <c r="A1327" s="45"/>
    </row>
    <row r="1328" spans="1:1">
      <c r="A1328" s="45"/>
    </row>
    <row r="1329" spans="1:1">
      <c r="A1329" s="45"/>
    </row>
    <row r="1330" spans="1:1">
      <c r="A1330" s="45"/>
    </row>
    <row r="1331" spans="1:1">
      <c r="A1331" s="45"/>
    </row>
    <row r="1332" spans="1:1">
      <c r="A1332" s="45"/>
    </row>
    <row r="1333" spans="1:1">
      <c r="A1333" s="45"/>
    </row>
    <row r="1334" spans="1:1">
      <c r="A1334" s="45"/>
    </row>
    <row r="1335" spans="1:1">
      <c r="A1335" s="45"/>
    </row>
    <row r="1336" spans="1:1">
      <c r="A1336" s="45"/>
    </row>
    <row r="1337" spans="1:1">
      <c r="A1337" s="45"/>
    </row>
    <row r="1338" spans="1:1">
      <c r="A1338" s="45"/>
    </row>
    <row r="1339" spans="1:1">
      <c r="A1339" s="45"/>
    </row>
    <row r="1340" spans="1:1">
      <c r="A1340" s="45"/>
    </row>
    <row r="1341" spans="1:1">
      <c r="A1341" s="45"/>
    </row>
    <row r="1342" spans="1:1">
      <c r="A1342" s="45"/>
    </row>
    <row r="1343" spans="1:1">
      <c r="A1343" s="45"/>
    </row>
    <row r="1344" spans="1:1">
      <c r="A1344" s="45"/>
    </row>
    <row r="1345" spans="1:1">
      <c r="A1345" s="45"/>
    </row>
    <row r="1346" spans="1:1">
      <c r="A1346" s="45"/>
    </row>
    <row r="1347" spans="1:1">
      <c r="A1347" s="45"/>
    </row>
    <row r="1348" spans="1:1">
      <c r="A1348" s="45"/>
    </row>
    <row r="1349" spans="1:1">
      <c r="A1349" s="45"/>
    </row>
    <row r="1350" spans="1:1">
      <c r="A1350" s="45"/>
    </row>
    <row r="1351" spans="1:1">
      <c r="A1351" s="45"/>
    </row>
    <row r="1352" spans="1:1">
      <c r="A1352" s="45"/>
    </row>
    <row r="1353" spans="1:1">
      <c r="A1353" s="45"/>
    </row>
    <row r="1354" spans="1:1">
      <c r="A1354" s="45"/>
    </row>
    <row r="1355" spans="1:1">
      <c r="A1355" s="45"/>
    </row>
    <row r="1356" spans="1:1">
      <c r="A1356" s="45"/>
    </row>
    <row r="1357" spans="1:1">
      <c r="A1357" s="45"/>
    </row>
    <row r="1358" spans="1:1">
      <c r="A1358" s="45"/>
    </row>
    <row r="1359" spans="1:1">
      <c r="A1359" s="45"/>
    </row>
    <row r="1360" spans="1:1">
      <c r="A1360" s="45"/>
    </row>
    <row r="1361" spans="1:1">
      <c r="A1361" s="45"/>
    </row>
    <row r="1362" spans="1:1">
      <c r="A1362" s="45"/>
    </row>
    <row r="1363" spans="1:1">
      <c r="A1363" s="45"/>
    </row>
    <row r="1364" spans="1:1">
      <c r="A1364" s="45"/>
    </row>
    <row r="1365" spans="1:1">
      <c r="A1365" s="45"/>
    </row>
    <row r="1366" spans="1:1">
      <c r="A1366" s="45"/>
    </row>
    <row r="1367" spans="1:1">
      <c r="A1367" s="45"/>
    </row>
    <row r="1368" spans="1:1">
      <c r="A1368" s="45"/>
    </row>
    <row r="1369" spans="1:1">
      <c r="A1369" s="45"/>
    </row>
    <row r="1370" spans="1:1">
      <c r="A1370" s="45"/>
    </row>
    <row r="1371" spans="1:1">
      <c r="A1371" s="45"/>
    </row>
    <row r="1372" spans="1:1">
      <c r="A1372" s="45"/>
    </row>
    <row r="1373" spans="1:1">
      <c r="A1373" s="45"/>
    </row>
    <row r="1374" spans="1:1">
      <c r="A1374" s="45"/>
    </row>
    <row r="1375" spans="1:1">
      <c r="A1375" s="45"/>
    </row>
    <row r="1376" spans="1:1">
      <c r="A1376" s="45"/>
    </row>
    <row r="1377" spans="1:1">
      <c r="A1377" s="45"/>
    </row>
    <row r="1378" spans="1:1">
      <c r="A1378" s="45"/>
    </row>
    <row r="1379" spans="1:1">
      <c r="A1379" s="45"/>
    </row>
    <row r="1380" spans="1:1">
      <c r="A1380" s="45"/>
    </row>
    <row r="1381" spans="1:1">
      <c r="A1381" s="45"/>
    </row>
    <row r="1382" spans="1:1">
      <c r="A1382" s="45"/>
    </row>
    <row r="1383" spans="1:1">
      <c r="A1383" s="45"/>
    </row>
    <row r="1384" spans="1:1">
      <c r="A1384" s="45"/>
    </row>
    <row r="1385" spans="1:1">
      <c r="A1385" s="45"/>
    </row>
    <row r="1386" spans="1:1">
      <c r="A1386" s="45"/>
    </row>
    <row r="1387" spans="1:1">
      <c r="A1387" s="45"/>
    </row>
    <row r="1388" spans="1:1">
      <c r="A1388" s="45"/>
    </row>
    <row r="1389" spans="1:1">
      <c r="A1389" s="45"/>
    </row>
    <row r="1390" spans="1:1">
      <c r="A1390" s="45"/>
    </row>
    <row r="1391" spans="1:1">
      <c r="A1391" s="45"/>
    </row>
    <row r="1392" spans="1:1">
      <c r="A1392" s="45"/>
    </row>
    <row r="1393" spans="1:1">
      <c r="A1393" s="45"/>
    </row>
    <row r="1394" spans="1:1">
      <c r="A1394" s="45"/>
    </row>
    <row r="1395" spans="1:1">
      <c r="A1395" s="45"/>
    </row>
    <row r="1396" spans="1:1">
      <c r="A1396" s="45"/>
    </row>
    <row r="1397" spans="1:1">
      <c r="A1397" s="45"/>
    </row>
    <row r="1398" spans="1:1">
      <c r="A1398" s="45"/>
    </row>
    <row r="1399" spans="1:1">
      <c r="A1399" s="45"/>
    </row>
    <row r="1400" spans="1:1">
      <c r="A1400" s="45"/>
    </row>
    <row r="1401" spans="1:1">
      <c r="A1401" s="45"/>
    </row>
    <row r="1402" spans="1:1">
      <c r="A1402" s="45"/>
    </row>
    <row r="1403" spans="1:1">
      <c r="A1403" s="45"/>
    </row>
    <row r="1404" spans="1:1">
      <c r="A1404" s="45"/>
    </row>
    <row r="1405" spans="1:1">
      <c r="A1405" s="45"/>
    </row>
    <row r="1406" spans="1:1">
      <c r="A1406" s="45"/>
    </row>
    <row r="1407" spans="1:1">
      <c r="A1407" s="45"/>
    </row>
    <row r="1408" spans="1:1">
      <c r="A1408" s="45"/>
    </row>
    <row r="1409" spans="1:1">
      <c r="A1409" s="45"/>
    </row>
    <row r="1410" spans="1:1">
      <c r="A1410" s="45"/>
    </row>
    <row r="1411" spans="1:1">
      <c r="A1411" s="45"/>
    </row>
    <row r="1412" spans="1:1">
      <c r="A1412" s="45"/>
    </row>
    <row r="1413" spans="1:1">
      <c r="A1413" s="45"/>
    </row>
    <row r="1414" spans="1:1">
      <c r="A1414" s="45"/>
    </row>
    <row r="1415" spans="1:1">
      <c r="A1415" s="45"/>
    </row>
    <row r="1416" spans="1:1">
      <c r="A1416" s="45"/>
    </row>
    <row r="1417" spans="1:1">
      <c r="A1417" s="45"/>
    </row>
    <row r="1418" spans="1:1">
      <c r="A1418" s="45"/>
    </row>
    <row r="1419" spans="1:1">
      <c r="A1419" s="45"/>
    </row>
    <row r="1420" spans="1:1">
      <c r="A1420" s="45"/>
    </row>
    <row r="1421" spans="1:1">
      <c r="A1421" s="45"/>
    </row>
    <row r="1422" spans="1:1">
      <c r="A1422" s="45"/>
    </row>
    <row r="1423" spans="1:1">
      <c r="A1423" s="45"/>
    </row>
    <row r="1424" spans="1:1">
      <c r="A1424" s="45"/>
    </row>
    <row r="1425" spans="1:1">
      <c r="A1425" s="45"/>
    </row>
    <row r="1426" spans="1:1">
      <c r="A1426" s="45"/>
    </row>
    <row r="1427" spans="1:1">
      <c r="A1427" s="45"/>
    </row>
    <row r="1428" spans="1:1">
      <c r="A1428" s="45"/>
    </row>
    <row r="1429" spans="1:1">
      <c r="A1429" s="45"/>
    </row>
    <row r="1430" spans="1:1">
      <c r="A1430" s="45"/>
    </row>
    <row r="1431" spans="1:1">
      <c r="A1431" s="45"/>
    </row>
    <row r="1432" spans="1:1">
      <c r="A1432" s="45"/>
    </row>
    <row r="1433" spans="1:1">
      <c r="A1433" s="45"/>
    </row>
    <row r="1434" spans="1:1">
      <c r="A1434" s="45"/>
    </row>
    <row r="1435" spans="1:1">
      <c r="A1435" s="45"/>
    </row>
    <row r="1436" spans="1:1">
      <c r="A1436" s="45"/>
    </row>
    <row r="1437" spans="1:1">
      <c r="A1437" s="45"/>
    </row>
    <row r="1438" spans="1:1">
      <c r="A1438" s="45"/>
    </row>
    <row r="1439" spans="1:1">
      <c r="A1439" s="45"/>
    </row>
    <row r="1440" spans="1:1">
      <c r="A1440" s="45"/>
    </row>
    <row r="1441" spans="1:1">
      <c r="A1441" s="45"/>
    </row>
    <row r="1442" spans="1:1">
      <c r="A1442" s="45"/>
    </row>
    <row r="1443" spans="1:1">
      <c r="A1443" s="45"/>
    </row>
    <row r="1444" spans="1:1">
      <c r="A1444" s="45"/>
    </row>
    <row r="1445" spans="1:1">
      <c r="A1445" s="45"/>
    </row>
    <row r="1446" spans="1:1">
      <c r="A1446" s="45"/>
    </row>
    <row r="1447" spans="1:1">
      <c r="A1447" s="45"/>
    </row>
    <row r="1448" spans="1:1">
      <c r="A1448" s="45"/>
    </row>
    <row r="1449" spans="1:1">
      <c r="A1449" s="45"/>
    </row>
    <row r="1450" spans="1:1">
      <c r="A1450" s="45"/>
    </row>
    <row r="1451" spans="1:1">
      <c r="A1451" s="45"/>
    </row>
    <row r="1452" spans="1:1">
      <c r="A1452" s="45"/>
    </row>
    <row r="1453" spans="1:1">
      <c r="A1453" s="45"/>
    </row>
    <row r="1454" spans="1:1">
      <c r="A1454" s="45"/>
    </row>
    <row r="1455" spans="1:1">
      <c r="A1455" s="45"/>
    </row>
    <row r="1456" spans="1:1">
      <c r="A1456" s="45"/>
    </row>
    <row r="1457" spans="1:1">
      <c r="A1457" s="45"/>
    </row>
    <row r="1458" spans="1:1">
      <c r="A1458" s="45"/>
    </row>
    <row r="1459" spans="1:1">
      <c r="A1459" s="45"/>
    </row>
    <row r="1460" spans="1:1">
      <c r="A1460" s="45"/>
    </row>
    <row r="1461" spans="1:1">
      <c r="A1461" s="45"/>
    </row>
    <row r="1462" spans="1:1">
      <c r="A1462" s="45"/>
    </row>
    <row r="1463" spans="1:1">
      <c r="A1463" s="45"/>
    </row>
    <row r="1464" spans="1:1">
      <c r="A1464" s="45"/>
    </row>
    <row r="1465" spans="1:1">
      <c r="A1465" s="45"/>
    </row>
    <row r="1466" spans="1:1">
      <c r="A1466" s="45"/>
    </row>
    <row r="1467" spans="1:1">
      <c r="A1467" s="45"/>
    </row>
    <row r="1468" spans="1:1">
      <c r="A1468" s="45"/>
    </row>
    <row r="1469" spans="1:1">
      <c r="A1469" s="45"/>
    </row>
    <row r="1470" spans="1:1">
      <c r="A1470" s="45"/>
    </row>
    <row r="1471" spans="1:1">
      <c r="A1471" s="45"/>
    </row>
    <row r="1472" spans="1:1">
      <c r="A1472" s="45"/>
    </row>
    <row r="1473" spans="1:1">
      <c r="A1473" s="45"/>
    </row>
    <row r="1474" spans="1:1">
      <c r="A1474" s="45"/>
    </row>
    <row r="1475" spans="1:1">
      <c r="A1475" s="45"/>
    </row>
    <row r="1476" spans="1:1">
      <c r="A1476" s="45"/>
    </row>
    <row r="1477" spans="1:1">
      <c r="A1477" s="45"/>
    </row>
    <row r="1478" spans="1:1">
      <c r="A1478" s="45"/>
    </row>
    <row r="1479" spans="1:1">
      <c r="A1479" s="45"/>
    </row>
    <row r="1480" spans="1:1">
      <c r="A1480" s="45"/>
    </row>
    <row r="1481" spans="1:1">
      <c r="A1481" s="45"/>
    </row>
    <row r="1482" spans="1:1">
      <c r="A1482" s="45"/>
    </row>
    <row r="1483" spans="1:1">
      <c r="A1483" s="45"/>
    </row>
    <row r="1484" spans="1:1">
      <c r="A1484" s="45"/>
    </row>
    <row r="1485" spans="1:1">
      <c r="A1485" s="45"/>
    </row>
    <row r="1486" spans="1:1">
      <c r="A1486" s="45"/>
    </row>
    <row r="1487" spans="1:1">
      <c r="A1487" s="45"/>
    </row>
    <row r="1488" spans="1:1">
      <c r="A1488" s="45"/>
    </row>
    <row r="1489" spans="1:1">
      <c r="A1489" s="45"/>
    </row>
    <row r="1490" spans="1:1">
      <c r="A1490" s="45"/>
    </row>
    <row r="1491" spans="1:1">
      <c r="A1491" s="45"/>
    </row>
    <row r="1492" spans="1:1">
      <c r="A1492" s="45"/>
    </row>
    <row r="1493" spans="1:1">
      <c r="A1493" s="45"/>
    </row>
    <row r="1494" spans="1:1">
      <c r="A1494" s="45"/>
    </row>
    <row r="1495" spans="1:1">
      <c r="A1495" s="45"/>
    </row>
    <row r="1496" spans="1:1">
      <c r="A1496" s="45"/>
    </row>
    <row r="1497" spans="1:1">
      <c r="A1497" s="45"/>
    </row>
    <row r="1498" spans="1:1">
      <c r="A1498" s="45"/>
    </row>
    <row r="1499" spans="1:1">
      <c r="A1499" s="45"/>
    </row>
    <row r="1500" spans="1:1">
      <c r="A1500" s="45"/>
    </row>
    <row r="1501" spans="1:1">
      <c r="A1501" s="45"/>
    </row>
    <row r="1502" spans="1:1">
      <c r="A1502" s="45"/>
    </row>
    <row r="1503" spans="1:1">
      <c r="A1503" s="45"/>
    </row>
    <row r="1504" spans="1:1">
      <c r="A1504" s="45"/>
    </row>
    <row r="1505" spans="1:1">
      <c r="A1505" s="45"/>
    </row>
    <row r="1506" spans="1:1">
      <c r="A1506" s="45"/>
    </row>
    <row r="1507" spans="1:1">
      <c r="A1507" s="45"/>
    </row>
    <row r="1508" spans="1:1">
      <c r="A1508" s="45"/>
    </row>
    <row r="1509" spans="1:1">
      <c r="A1509" s="45"/>
    </row>
    <row r="1510" spans="1:1">
      <c r="A1510" s="45"/>
    </row>
    <row r="1511" spans="1:1">
      <c r="A1511" s="45"/>
    </row>
    <row r="1512" spans="1:1">
      <c r="A1512" s="45"/>
    </row>
    <row r="1513" spans="1:1">
      <c r="A1513" s="45"/>
    </row>
    <row r="1514" spans="1:1">
      <c r="A1514" s="45"/>
    </row>
    <row r="1515" spans="1:1">
      <c r="A1515" s="45"/>
    </row>
    <row r="1516" spans="1:1">
      <c r="A1516" s="45"/>
    </row>
    <row r="1517" spans="1:1">
      <c r="A1517" s="45"/>
    </row>
    <row r="1518" spans="1:1">
      <c r="A1518" s="45"/>
    </row>
    <row r="1519" spans="1:1">
      <c r="A1519" s="45"/>
    </row>
    <row r="1520" spans="1:1">
      <c r="A1520" s="45"/>
    </row>
    <row r="1521" spans="1:1">
      <c r="A1521" s="45"/>
    </row>
    <row r="1522" spans="1:1">
      <c r="A1522" s="45"/>
    </row>
    <row r="1523" spans="1:1">
      <c r="A1523" s="45"/>
    </row>
    <row r="1524" spans="1:1">
      <c r="A1524" s="45"/>
    </row>
    <row r="1525" spans="1:1">
      <c r="A1525" s="45"/>
    </row>
    <row r="1526" spans="1:1">
      <c r="A1526" s="45"/>
    </row>
    <row r="1527" spans="1:1">
      <c r="A1527" s="45"/>
    </row>
    <row r="1528" spans="1:1">
      <c r="A1528" s="45"/>
    </row>
    <row r="1529" spans="1:1">
      <c r="A1529" s="45"/>
    </row>
    <row r="1530" spans="1:1">
      <c r="A1530" s="45"/>
    </row>
    <row r="1531" spans="1:1">
      <c r="A1531" s="45"/>
    </row>
    <row r="1532" spans="1:1">
      <c r="A1532" s="45"/>
    </row>
    <row r="1533" spans="1:1">
      <c r="A1533" s="45"/>
    </row>
    <row r="1534" spans="1:1">
      <c r="A1534" s="45"/>
    </row>
    <row r="1535" spans="1:1">
      <c r="A1535" s="45"/>
    </row>
    <row r="1536" spans="1:1">
      <c r="A1536" s="45"/>
    </row>
    <row r="1537" spans="1:1">
      <c r="A1537" s="45"/>
    </row>
    <row r="1538" spans="1:1">
      <c r="A1538" s="45"/>
    </row>
    <row r="1539" spans="1:1">
      <c r="A1539" s="45"/>
    </row>
    <row r="1540" spans="1:1">
      <c r="A1540" s="45"/>
    </row>
    <row r="1541" spans="1:1">
      <c r="A1541" s="45"/>
    </row>
    <row r="1542" spans="1:1">
      <c r="A1542" s="45"/>
    </row>
    <row r="1543" spans="1:1">
      <c r="A1543" s="45"/>
    </row>
    <row r="1544" spans="1:1">
      <c r="A1544" s="45"/>
    </row>
    <row r="1545" spans="1:1">
      <c r="A1545" s="45"/>
    </row>
    <row r="1546" spans="1:1">
      <c r="A1546" s="45"/>
    </row>
    <row r="1547" spans="1:1">
      <c r="A1547" s="45"/>
    </row>
    <row r="1548" spans="1:1">
      <c r="A1548" s="45"/>
    </row>
    <row r="1549" spans="1:1">
      <c r="A1549" s="45"/>
    </row>
    <row r="1550" spans="1:1">
      <c r="A1550" s="45"/>
    </row>
    <row r="1551" spans="1:1">
      <c r="A1551" s="45"/>
    </row>
    <row r="1552" spans="1:1">
      <c r="A1552" s="45"/>
    </row>
    <row r="1553" spans="1:1">
      <c r="A1553" s="45"/>
    </row>
    <row r="1554" spans="1:1">
      <c r="A1554" s="45"/>
    </row>
    <row r="1555" spans="1:1">
      <c r="A1555" s="45"/>
    </row>
    <row r="1556" spans="1:1">
      <c r="A1556" s="45"/>
    </row>
    <row r="1557" spans="1:1">
      <c r="A1557" s="45"/>
    </row>
    <row r="1558" spans="1:1">
      <c r="A1558" s="45"/>
    </row>
    <row r="1559" spans="1:1">
      <c r="A1559" s="45"/>
    </row>
    <row r="1560" spans="1:1">
      <c r="A1560" s="45"/>
    </row>
    <row r="1561" spans="1:1">
      <c r="A1561" s="45"/>
    </row>
    <row r="1562" spans="1:1">
      <c r="A1562" s="45"/>
    </row>
    <row r="1563" spans="1:1">
      <c r="A1563" s="45"/>
    </row>
    <row r="1564" spans="1:1">
      <c r="A1564" s="45"/>
    </row>
    <row r="1565" spans="1:1">
      <c r="A1565" s="45"/>
    </row>
    <row r="1566" spans="1:1">
      <c r="A1566" s="45"/>
    </row>
    <row r="1567" spans="1:1">
      <c r="A1567" s="45"/>
    </row>
    <row r="1568" spans="1:1">
      <c r="A1568" s="45"/>
    </row>
    <row r="1569" spans="1:1">
      <c r="A1569" s="45"/>
    </row>
    <row r="1570" spans="1:1">
      <c r="A1570" s="45"/>
    </row>
    <row r="1571" spans="1:1">
      <c r="A1571" s="45"/>
    </row>
    <row r="1572" spans="1:1">
      <c r="A1572" s="45"/>
    </row>
    <row r="1573" spans="1:1">
      <c r="A1573" s="45"/>
    </row>
    <row r="1574" spans="1:1">
      <c r="A1574" s="45"/>
    </row>
    <row r="1575" spans="1:1">
      <c r="A1575" s="45"/>
    </row>
    <row r="1576" spans="1:1">
      <c r="A1576" s="45"/>
    </row>
    <row r="1577" spans="1:1">
      <c r="A1577" s="45"/>
    </row>
    <row r="1578" spans="1:1">
      <c r="A1578" s="45"/>
    </row>
    <row r="1579" spans="1:1">
      <c r="A1579" s="45"/>
    </row>
    <row r="1580" spans="1:1">
      <c r="A1580" s="45"/>
    </row>
    <row r="1581" spans="1:1">
      <c r="A1581" s="45"/>
    </row>
    <row r="1582" spans="1:1">
      <c r="A1582" s="45"/>
    </row>
    <row r="1583" spans="1:1">
      <c r="A1583" s="45"/>
    </row>
    <row r="1584" spans="1:1">
      <c r="A1584" s="45"/>
    </row>
    <row r="1585" spans="1:1">
      <c r="A1585" s="45"/>
    </row>
    <row r="1586" spans="1:1">
      <c r="A1586" s="45"/>
    </row>
    <row r="1587" spans="1:1">
      <c r="A1587" s="45"/>
    </row>
    <row r="1588" spans="1:1">
      <c r="A1588" s="45"/>
    </row>
    <row r="1589" spans="1:1">
      <c r="A1589" s="45"/>
    </row>
    <row r="1590" spans="1:1">
      <c r="A1590" s="45"/>
    </row>
    <row r="1591" spans="1:1">
      <c r="A1591" s="45"/>
    </row>
    <row r="1592" spans="1:1">
      <c r="A1592" s="45"/>
    </row>
    <row r="1593" spans="1:1">
      <c r="A1593" s="45"/>
    </row>
    <row r="1594" spans="1:1">
      <c r="A1594" s="45"/>
    </row>
    <row r="1595" spans="1:1">
      <c r="A1595" s="45"/>
    </row>
    <row r="1596" spans="1:1">
      <c r="A1596" s="45"/>
    </row>
    <row r="1597" spans="1:1">
      <c r="A1597" s="45"/>
    </row>
    <row r="1598" spans="1:1">
      <c r="A1598" s="45"/>
    </row>
    <row r="1599" spans="1:1">
      <c r="A1599" s="45"/>
    </row>
    <row r="1600" spans="1:1">
      <c r="A1600" s="45"/>
    </row>
    <row r="1601" spans="1:1">
      <c r="A1601" s="45"/>
    </row>
    <row r="1602" spans="1:1">
      <c r="A1602" s="45"/>
    </row>
    <row r="1603" spans="1:1">
      <c r="A1603" s="45"/>
    </row>
    <row r="1604" spans="1:1">
      <c r="A1604" s="45"/>
    </row>
    <row r="1605" spans="1:1">
      <c r="A1605" s="45"/>
    </row>
    <row r="1606" spans="1:1">
      <c r="A1606" s="45"/>
    </row>
    <row r="1607" spans="1:1">
      <c r="A1607" s="45"/>
    </row>
    <row r="1608" spans="1:1">
      <c r="A1608" s="45"/>
    </row>
    <row r="1609" spans="1:1">
      <c r="A1609" s="45"/>
    </row>
    <row r="1610" spans="1:1">
      <c r="A1610" s="45"/>
    </row>
    <row r="1611" spans="1:1">
      <c r="A1611" s="45"/>
    </row>
    <row r="1612" spans="1:1">
      <c r="A1612" s="45"/>
    </row>
    <row r="1613" spans="1:1">
      <c r="A1613" s="45"/>
    </row>
    <row r="1614" spans="1:1">
      <c r="A1614" s="45"/>
    </row>
    <row r="1615" spans="1:1">
      <c r="A1615" s="45"/>
    </row>
    <row r="1616" spans="1:1">
      <c r="A1616" s="45"/>
    </row>
    <row r="1617" spans="1:1">
      <c r="A1617" s="45"/>
    </row>
    <row r="1618" spans="1:1">
      <c r="A1618" s="45"/>
    </row>
    <row r="1619" spans="1:1">
      <c r="A1619" s="45"/>
    </row>
    <row r="1620" spans="1:1">
      <c r="A1620" s="45"/>
    </row>
    <row r="1621" spans="1:1">
      <c r="A1621" s="45"/>
    </row>
    <row r="1622" spans="1:1">
      <c r="A1622" s="45"/>
    </row>
    <row r="1623" spans="1:1">
      <c r="A1623" s="45"/>
    </row>
    <row r="1624" spans="1:1">
      <c r="A1624" s="45"/>
    </row>
    <row r="1625" spans="1:1">
      <c r="A1625" s="45"/>
    </row>
    <row r="1626" spans="1:1">
      <c r="A1626" s="45"/>
    </row>
    <row r="1627" spans="1:1">
      <c r="A1627" s="45"/>
    </row>
    <row r="1628" spans="1:1">
      <c r="A1628" s="45"/>
    </row>
    <row r="1629" spans="1:1">
      <c r="A1629" s="45"/>
    </row>
    <row r="1630" spans="1:1">
      <c r="A1630" s="45"/>
    </row>
    <row r="1631" spans="1:1">
      <c r="A1631" s="45"/>
    </row>
    <row r="1632" spans="1:1">
      <c r="A1632" s="45"/>
    </row>
    <row r="1633" spans="1:1">
      <c r="A1633" s="45"/>
    </row>
    <row r="1634" spans="1:1">
      <c r="A1634" s="45"/>
    </row>
    <row r="1635" spans="1:1">
      <c r="A1635" s="45"/>
    </row>
    <row r="1636" spans="1:1">
      <c r="A1636" s="45"/>
    </row>
    <row r="1637" spans="1:1">
      <c r="A1637" s="45"/>
    </row>
    <row r="1638" spans="1:1">
      <c r="A1638" s="45"/>
    </row>
    <row r="1639" spans="1:1">
      <c r="A1639" s="45"/>
    </row>
    <row r="1640" spans="1:1">
      <c r="A1640" s="45"/>
    </row>
    <row r="1641" spans="1:1">
      <c r="A1641" s="45"/>
    </row>
    <row r="1642" spans="1:1">
      <c r="A1642" s="45"/>
    </row>
    <row r="1643" spans="1:1">
      <c r="A1643" s="45"/>
    </row>
    <row r="1644" spans="1:1">
      <c r="A1644" s="45"/>
    </row>
    <row r="1645" spans="1:1">
      <c r="A1645" s="45"/>
    </row>
    <row r="1646" spans="1:1">
      <c r="A1646" s="45"/>
    </row>
    <row r="1647" spans="1:1">
      <c r="A1647" s="45"/>
    </row>
    <row r="1648" spans="1:1">
      <c r="A1648" s="45"/>
    </row>
    <row r="1649" spans="1:1">
      <c r="A1649" s="45"/>
    </row>
    <row r="1650" spans="1:1">
      <c r="A1650" s="45"/>
    </row>
    <row r="1651" spans="1:1">
      <c r="A1651" s="45"/>
    </row>
    <row r="1652" spans="1:1">
      <c r="A1652" s="45"/>
    </row>
    <row r="1653" spans="1:1">
      <c r="A1653" s="45"/>
    </row>
    <row r="1654" spans="1:1">
      <c r="A1654" s="45"/>
    </row>
    <row r="1655" spans="1:1">
      <c r="A1655" s="45"/>
    </row>
    <row r="1656" spans="1:1">
      <c r="A1656" s="45"/>
    </row>
    <row r="1657" spans="1:1">
      <c r="A1657" s="45"/>
    </row>
    <row r="1658" spans="1:1">
      <c r="A1658" s="45"/>
    </row>
    <row r="1659" spans="1:1">
      <c r="A1659" s="45"/>
    </row>
    <row r="1660" spans="1:1">
      <c r="A1660" s="45"/>
    </row>
    <row r="1661" spans="1:1">
      <c r="A1661" s="45"/>
    </row>
    <row r="1662" spans="1:1">
      <c r="A1662" s="45"/>
    </row>
    <row r="1663" spans="1:1">
      <c r="A1663" s="45"/>
    </row>
    <row r="1664" spans="1:1">
      <c r="A1664" s="45"/>
    </row>
    <row r="1665" spans="1:1">
      <c r="A1665" s="45"/>
    </row>
    <row r="1666" spans="1:1">
      <c r="A1666" s="45"/>
    </row>
    <row r="1667" spans="1:1">
      <c r="A1667" s="45"/>
    </row>
    <row r="1668" spans="1:1">
      <c r="A1668" s="45"/>
    </row>
    <row r="1669" spans="1:1">
      <c r="A1669" s="45"/>
    </row>
    <row r="1670" spans="1:1">
      <c r="A1670" s="45"/>
    </row>
    <row r="1671" spans="1:1">
      <c r="A1671" s="45"/>
    </row>
    <row r="1672" spans="1:1">
      <c r="A1672" s="45"/>
    </row>
    <row r="1673" spans="1:1">
      <c r="A1673" s="45"/>
    </row>
    <row r="1674" spans="1:1">
      <c r="A1674" s="45"/>
    </row>
    <row r="1675" spans="1:1">
      <c r="A1675" s="45"/>
    </row>
    <row r="1676" spans="1:1">
      <c r="A1676" s="45"/>
    </row>
    <row r="1677" spans="1:1">
      <c r="A1677" s="45"/>
    </row>
    <row r="1678" spans="1:1">
      <c r="A1678" s="45"/>
    </row>
    <row r="1679" spans="1:1">
      <c r="A1679" s="45"/>
    </row>
    <row r="1680" spans="1:1">
      <c r="A1680" s="45"/>
    </row>
    <row r="1681" spans="1:1">
      <c r="A1681" s="45"/>
    </row>
    <row r="1682" spans="1:1">
      <c r="A1682" s="45"/>
    </row>
    <row r="1683" spans="1:1">
      <c r="A1683" s="45"/>
    </row>
    <row r="1684" spans="1:1">
      <c r="A1684" s="45"/>
    </row>
    <row r="1685" spans="1:1">
      <c r="A1685" s="45"/>
    </row>
    <row r="1686" spans="1:1">
      <c r="A1686" s="45"/>
    </row>
    <row r="1687" spans="1:1">
      <c r="A1687" s="45"/>
    </row>
    <row r="1688" spans="1:1">
      <c r="A1688" s="45"/>
    </row>
    <row r="1689" spans="1:1">
      <c r="A1689" s="45"/>
    </row>
    <row r="1690" spans="1:1">
      <c r="A1690" s="45"/>
    </row>
    <row r="1691" spans="1:1">
      <c r="A1691" s="45"/>
    </row>
    <row r="1692" spans="1:1">
      <c r="A1692" s="45"/>
    </row>
    <row r="1693" spans="1:1">
      <c r="A1693" s="45"/>
    </row>
    <row r="1694" spans="1:1">
      <c r="A1694" s="45"/>
    </row>
    <row r="1695" spans="1:1">
      <c r="A1695" s="45"/>
    </row>
    <row r="1696" spans="1:1">
      <c r="A1696" s="45"/>
    </row>
    <row r="1697" spans="1:1">
      <c r="A1697" s="45"/>
    </row>
    <row r="1698" spans="1:1">
      <c r="A1698" s="45"/>
    </row>
    <row r="1699" spans="1:1">
      <c r="A1699" s="45"/>
    </row>
    <row r="1700" spans="1:1">
      <c r="A1700" s="45"/>
    </row>
    <row r="1701" spans="1:1">
      <c r="A1701" s="45"/>
    </row>
    <row r="1702" spans="1:1">
      <c r="A1702" s="45"/>
    </row>
    <row r="1703" spans="1:1">
      <c r="A1703" s="45"/>
    </row>
    <row r="1704" spans="1:1">
      <c r="A1704" s="45"/>
    </row>
    <row r="1705" spans="1:1">
      <c r="A1705" s="45"/>
    </row>
    <row r="1706" spans="1:1">
      <c r="A1706" s="45"/>
    </row>
    <row r="1707" spans="1:1">
      <c r="A1707" s="45"/>
    </row>
    <row r="1708" spans="1:1">
      <c r="A1708" s="45"/>
    </row>
    <row r="1709" spans="1:1">
      <c r="A1709" s="45"/>
    </row>
    <row r="1710" spans="1:1">
      <c r="A1710" s="45"/>
    </row>
    <row r="1711" spans="1:1">
      <c r="A1711" s="45"/>
    </row>
    <row r="1712" spans="1:1">
      <c r="A1712" s="45"/>
    </row>
    <row r="1713" spans="1:1">
      <c r="A1713" s="45"/>
    </row>
    <row r="1714" spans="1:1">
      <c r="A1714" s="45"/>
    </row>
    <row r="1715" spans="1:1">
      <c r="A1715" s="45"/>
    </row>
    <row r="1716" spans="1:1">
      <c r="A1716" s="45"/>
    </row>
    <row r="1717" spans="1:1">
      <c r="A1717" s="45"/>
    </row>
    <row r="1718" spans="1:1">
      <c r="A1718" s="45"/>
    </row>
    <row r="1719" spans="1:1">
      <c r="A1719" s="45"/>
    </row>
    <row r="1720" spans="1:1">
      <c r="A1720" s="45"/>
    </row>
    <row r="1721" spans="1:1">
      <c r="A1721" s="45"/>
    </row>
    <row r="1722" spans="1:1">
      <c r="A1722" s="45"/>
    </row>
    <row r="1723" spans="1:1">
      <c r="A1723" s="45"/>
    </row>
    <row r="1724" spans="1:1">
      <c r="A1724" s="45"/>
    </row>
    <row r="1725" spans="1:1">
      <c r="A1725" s="45"/>
    </row>
    <row r="1726" spans="1:1">
      <c r="A1726" s="45"/>
    </row>
    <row r="1727" spans="1:1">
      <c r="A1727" s="45"/>
    </row>
    <row r="1728" spans="1:1">
      <c r="A1728" s="45"/>
    </row>
    <row r="1729" spans="1:1">
      <c r="A1729" s="45"/>
    </row>
    <row r="1730" spans="1:1">
      <c r="A1730" s="45"/>
    </row>
    <row r="1731" spans="1:1">
      <c r="A1731" s="45"/>
    </row>
    <row r="1732" spans="1:1">
      <c r="A1732" s="45"/>
    </row>
    <row r="1733" spans="1:1">
      <c r="A1733" s="45"/>
    </row>
    <row r="1734" spans="1:1">
      <c r="A1734" s="45"/>
    </row>
    <row r="1735" spans="1:1">
      <c r="A1735" s="45"/>
    </row>
    <row r="1736" spans="1:1">
      <c r="A1736" s="45"/>
    </row>
    <row r="1737" spans="1:1">
      <c r="A1737" s="45"/>
    </row>
    <row r="1738" spans="1:1">
      <c r="A1738" s="45"/>
    </row>
    <row r="1739" spans="1:1">
      <c r="A1739" s="45"/>
    </row>
    <row r="1740" spans="1:1">
      <c r="A1740" s="45"/>
    </row>
    <row r="1741" spans="1:1">
      <c r="A1741" s="45"/>
    </row>
    <row r="1742" spans="1:1">
      <c r="A1742" s="45"/>
    </row>
    <row r="1743" spans="1:1">
      <c r="A1743" s="45"/>
    </row>
    <row r="1744" spans="1:1">
      <c r="A1744" s="45"/>
    </row>
    <row r="1745" spans="1:1">
      <c r="A1745" s="45"/>
    </row>
    <row r="1746" spans="1:1">
      <c r="A1746" s="45"/>
    </row>
    <row r="1747" spans="1:1">
      <c r="A1747" s="45"/>
    </row>
    <row r="1748" spans="1:1">
      <c r="A1748" s="45"/>
    </row>
    <row r="1749" spans="1:1">
      <c r="A1749" s="45"/>
    </row>
    <row r="1750" spans="1:1">
      <c r="A1750" s="45"/>
    </row>
    <row r="1751" spans="1:1">
      <c r="A1751" s="45"/>
    </row>
    <row r="1752" spans="1:1">
      <c r="A1752" s="45"/>
    </row>
    <row r="1753" spans="1:1">
      <c r="A1753" s="45"/>
    </row>
    <row r="1754" spans="1:1">
      <c r="A1754" s="45"/>
    </row>
    <row r="1755" spans="1:1">
      <c r="A1755" s="45"/>
    </row>
    <row r="1756" spans="1:1">
      <c r="A1756" s="45"/>
    </row>
    <row r="1757" spans="1:1">
      <c r="A1757" s="45"/>
    </row>
    <row r="1758" spans="1:1">
      <c r="A1758" s="45"/>
    </row>
    <row r="1759" spans="1:1">
      <c r="A1759" s="45"/>
    </row>
    <row r="1760" spans="1:1">
      <c r="A1760" s="45"/>
    </row>
    <row r="1761" spans="1:1">
      <c r="A1761" s="45"/>
    </row>
    <row r="1762" spans="1:1">
      <c r="A1762" s="45"/>
    </row>
    <row r="1763" spans="1:1">
      <c r="A1763" s="45"/>
    </row>
    <row r="1764" spans="1:1">
      <c r="A1764" s="45"/>
    </row>
    <row r="1765" spans="1:1">
      <c r="A1765" s="45"/>
    </row>
    <row r="1766" spans="1:1">
      <c r="A1766" s="45"/>
    </row>
    <row r="1767" spans="1:1">
      <c r="A1767" s="45"/>
    </row>
    <row r="1768" spans="1:1">
      <c r="A1768" s="45"/>
    </row>
    <row r="1769" spans="1:1">
      <c r="A1769" s="45"/>
    </row>
    <row r="1770" spans="1:1">
      <c r="A1770" s="45"/>
    </row>
    <row r="1771" spans="1:1">
      <c r="A1771" s="45"/>
    </row>
    <row r="1772" spans="1:1">
      <c r="A1772" s="45"/>
    </row>
    <row r="1773" spans="1:1">
      <c r="A1773" s="45"/>
    </row>
    <row r="1774" spans="1:1">
      <c r="A1774" s="45"/>
    </row>
    <row r="1775" spans="1:1">
      <c r="A1775" s="45"/>
    </row>
    <row r="1776" spans="1:1">
      <c r="A1776" s="45"/>
    </row>
    <row r="1777" spans="1:1">
      <c r="A1777" s="45"/>
    </row>
    <row r="1778" spans="1:1">
      <c r="A1778" s="45"/>
    </row>
    <row r="1779" spans="1:1">
      <c r="A1779" s="45"/>
    </row>
    <row r="1780" spans="1:1">
      <c r="A1780" s="45"/>
    </row>
    <row r="1781" spans="1:1">
      <c r="A1781" s="45"/>
    </row>
    <row r="1782" spans="1:1">
      <c r="A1782" s="45"/>
    </row>
    <row r="1783" spans="1:1">
      <c r="A1783" s="45"/>
    </row>
    <row r="1784" spans="1:1">
      <c r="A1784" s="45"/>
    </row>
    <row r="1785" spans="1:1">
      <c r="A1785" s="45"/>
    </row>
    <row r="1786" spans="1:1">
      <c r="A1786" s="45"/>
    </row>
    <row r="1787" spans="1:1">
      <c r="A1787" s="45"/>
    </row>
    <row r="1788" spans="1:1">
      <c r="A1788" s="45"/>
    </row>
    <row r="1789" spans="1:1">
      <c r="A1789" s="45"/>
    </row>
    <row r="1790" spans="1:1">
      <c r="A1790" s="45"/>
    </row>
    <row r="1791" spans="1:1">
      <c r="A1791" s="45"/>
    </row>
    <row r="1792" spans="1:1">
      <c r="A1792" s="45"/>
    </row>
    <row r="1793" spans="1:1">
      <c r="A1793" s="45"/>
    </row>
    <row r="1794" spans="1:1">
      <c r="A1794" s="45"/>
    </row>
    <row r="1795" spans="1:1">
      <c r="A1795" s="45"/>
    </row>
    <row r="1796" spans="1:1">
      <c r="A1796" s="45"/>
    </row>
    <row r="1797" spans="1:1">
      <c r="A1797" s="45"/>
    </row>
    <row r="1798" spans="1:1">
      <c r="A1798" s="45"/>
    </row>
    <row r="1799" spans="1:1">
      <c r="A1799" s="45"/>
    </row>
    <row r="1800" spans="1:1">
      <c r="A1800" s="45"/>
    </row>
    <row r="1801" spans="1:1">
      <c r="A1801" s="45"/>
    </row>
    <row r="1802" spans="1:1">
      <c r="A1802" s="45"/>
    </row>
    <row r="1803" spans="1:1">
      <c r="A1803" s="45"/>
    </row>
    <row r="1804" spans="1:1">
      <c r="A1804" s="45"/>
    </row>
    <row r="1805" spans="1:1">
      <c r="A1805" s="45"/>
    </row>
    <row r="1806" spans="1:1">
      <c r="A1806" s="45"/>
    </row>
    <row r="1807" spans="1:1">
      <c r="A1807" s="45"/>
    </row>
    <row r="1808" spans="1:1">
      <c r="A1808" s="45"/>
    </row>
    <row r="1809" spans="1:1">
      <c r="A1809" s="45"/>
    </row>
    <row r="1810" spans="1:1">
      <c r="A1810" s="45"/>
    </row>
    <row r="1811" spans="1:1">
      <c r="A1811" s="45"/>
    </row>
    <row r="1812" spans="1:1">
      <c r="A1812" s="45"/>
    </row>
    <row r="1813" spans="1:1">
      <c r="A1813" s="45"/>
    </row>
    <row r="1814" spans="1:1">
      <c r="A1814" s="45"/>
    </row>
    <row r="1815" spans="1:1">
      <c r="A1815" s="45"/>
    </row>
    <row r="1816" spans="1:1">
      <c r="A1816" s="45"/>
    </row>
    <row r="1817" spans="1:1">
      <c r="A1817" s="45"/>
    </row>
    <row r="1818" spans="1:1">
      <c r="A1818" s="45"/>
    </row>
    <row r="1819" spans="1:1">
      <c r="A1819" s="45"/>
    </row>
    <row r="1820" spans="1:1">
      <c r="A1820" s="45"/>
    </row>
    <row r="1821" spans="1:1">
      <c r="A1821" s="45"/>
    </row>
    <row r="1822" spans="1:1">
      <c r="A1822" s="45"/>
    </row>
    <row r="1823" spans="1:1">
      <c r="A1823" s="45"/>
    </row>
    <row r="1824" spans="1:1">
      <c r="A1824" s="45"/>
    </row>
    <row r="1825" spans="1:1">
      <c r="A1825" s="45"/>
    </row>
    <row r="1826" spans="1:1">
      <c r="A1826" s="45"/>
    </row>
    <row r="1827" spans="1:1">
      <c r="A1827" s="45"/>
    </row>
    <row r="1828" spans="1:1">
      <c r="A1828" s="45"/>
    </row>
    <row r="1829" spans="1:1">
      <c r="A1829" s="45"/>
    </row>
    <row r="1830" spans="1:1">
      <c r="A1830" s="45"/>
    </row>
    <row r="1831" spans="1:1">
      <c r="A1831" s="45"/>
    </row>
    <row r="1832" spans="1:1">
      <c r="A1832" s="45"/>
    </row>
    <row r="1833" spans="1:1">
      <c r="A1833" s="45"/>
    </row>
    <row r="1834" spans="1:1">
      <c r="A1834" s="45"/>
    </row>
    <row r="1835" spans="1:1">
      <c r="A1835" s="45"/>
    </row>
    <row r="1836" spans="1:1">
      <c r="A1836" s="45"/>
    </row>
    <row r="1837" spans="1:1">
      <c r="A1837" s="45"/>
    </row>
    <row r="1838" spans="1:1">
      <c r="A1838" s="45"/>
    </row>
    <row r="1839" spans="1:1">
      <c r="A1839" s="45"/>
    </row>
    <row r="1840" spans="1:1">
      <c r="A1840" s="45"/>
    </row>
    <row r="1841" spans="1:1">
      <c r="A1841" s="45"/>
    </row>
    <row r="1842" spans="1:1">
      <c r="A1842" s="45"/>
    </row>
    <row r="1843" spans="1:1">
      <c r="A1843" s="45"/>
    </row>
    <row r="1844" spans="1:1">
      <c r="A1844" s="45"/>
    </row>
    <row r="1845" spans="1:1">
      <c r="A1845" s="45"/>
    </row>
    <row r="1846" spans="1:1">
      <c r="A1846" s="45"/>
    </row>
    <row r="1847" spans="1:1">
      <c r="A1847" s="45"/>
    </row>
    <row r="1848" spans="1:1">
      <c r="A1848" s="45"/>
    </row>
    <row r="1849" spans="1:1">
      <c r="A1849" s="45"/>
    </row>
    <row r="1850" spans="1:1">
      <c r="A1850" s="45"/>
    </row>
    <row r="1851" spans="1:1">
      <c r="A1851" s="45"/>
    </row>
    <row r="1852" spans="1:1">
      <c r="A1852" s="45"/>
    </row>
    <row r="1853" spans="1:1">
      <c r="A1853" s="45"/>
    </row>
    <row r="1854" spans="1:1">
      <c r="A1854" s="45"/>
    </row>
    <row r="1855" spans="1:1">
      <c r="A1855" s="45"/>
    </row>
    <row r="1856" spans="1:1">
      <c r="A1856" s="45"/>
    </row>
    <row r="1857" spans="1:1">
      <c r="A1857" s="45"/>
    </row>
    <row r="1858" spans="1:1">
      <c r="A1858" s="45"/>
    </row>
    <row r="1859" spans="1:1">
      <c r="A1859" s="45"/>
    </row>
    <row r="1860" spans="1:1">
      <c r="A1860" s="45"/>
    </row>
    <row r="1861" spans="1:1">
      <c r="A1861" s="45"/>
    </row>
    <row r="1862" spans="1:1">
      <c r="A1862" s="45"/>
    </row>
    <row r="1863" spans="1:1">
      <c r="A1863" s="45"/>
    </row>
    <row r="1864" spans="1:1">
      <c r="A1864" s="45"/>
    </row>
    <row r="1865" spans="1:1">
      <c r="A1865" s="45"/>
    </row>
    <row r="1866" spans="1:1">
      <c r="A1866" s="45"/>
    </row>
    <row r="1867" spans="1:1">
      <c r="A1867" s="45"/>
    </row>
    <row r="1868" spans="1:1">
      <c r="A1868" s="45"/>
    </row>
    <row r="1869" spans="1:1">
      <c r="A1869" s="45"/>
    </row>
    <row r="1870" spans="1:1">
      <c r="A1870" s="45"/>
    </row>
    <row r="1871" spans="1:1">
      <c r="A1871" s="45"/>
    </row>
    <row r="1872" spans="1:1">
      <c r="A1872" s="45"/>
    </row>
    <row r="1873" spans="1:1">
      <c r="A1873" s="45"/>
    </row>
    <row r="1874" spans="1:1">
      <c r="A1874" s="45"/>
    </row>
    <row r="1875" spans="1:1">
      <c r="A1875" s="45"/>
    </row>
    <row r="1876" spans="1:1">
      <c r="A1876" s="45"/>
    </row>
    <row r="1877" spans="1:1">
      <c r="A1877" s="45"/>
    </row>
    <row r="1878" spans="1:1">
      <c r="A1878" s="45"/>
    </row>
    <row r="1879" spans="1:1">
      <c r="A1879" s="45"/>
    </row>
    <row r="1880" spans="1:1">
      <c r="A1880" s="45"/>
    </row>
    <row r="1881" spans="1:1">
      <c r="A1881" s="45"/>
    </row>
    <row r="1882" spans="1:1">
      <c r="A1882" s="45"/>
    </row>
    <row r="1883" spans="1:1">
      <c r="A1883" s="45"/>
    </row>
    <row r="1884" spans="1:1">
      <c r="A1884" s="45"/>
    </row>
    <row r="1885" spans="1:1">
      <c r="A1885" s="45"/>
    </row>
    <row r="1886" spans="1:1">
      <c r="A1886" s="45"/>
    </row>
    <row r="1887" spans="1:1">
      <c r="A1887" s="45"/>
    </row>
    <row r="1888" spans="1:1">
      <c r="A1888" s="45"/>
    </row>
    <row r="1889" spans="1:1">
      <c r="A1889" s="45"/>
    </row>
    <row r="1890" spans="1:1">
      <c r="A1890" s="45"/>
    </row>
    <row r="1891" spans="1:1">
      <c r="A1891" s="45"/>
    </row>
    <row r="1892" spans="1:1">
      <c r="A1892" s="45"/>
    </row>
    <row r="1893" spans="1:1">
      <c r="A1893" s="45"/>
    </row>
    <row r="1894" spans="1:1">
      <c r="A1894" s="45"/>
    </row>
    <row r="1895" spans="1:1">
      <c r="A1895" s="45"/>
    </row>
    <row r="1896" spans="1:1">
      <c r="A1896" s="45"/>
    </row>
    <row r="1897" spans="1:1">
      <c r="A1897" s="45"/>
    </row>
    <row r="1898" spans="1:1">
      <c r="A1898" s="45"/>
    </row>
    <row r="1899" spans="1:1">
      <c r="A1899" s="45"/>
    </row>
    <row r="1900" spans="1:1">
      <c r="A1900" s="45"/>
    </row>
    <row r="1901" spans="1:1">
      <c r="A1901" s="45"/>
    </row>
    <row r="1902" spans="1:1">
      <c r="A1902" s="45"/>
    </row>
    <row r="1903" spans="1:1">
      <c r="A1903" s="45"/>
    </row>
    <row r="1904" spans="1:1">
      <c r="A1904" s="45"/>
    </row>
    <row r="1905" spans="1:1">
      <c r="A1905" s="45"/>
    </row>
    <row r="1906" spans="1:1">
      <c r="A1906" s="45"/>
    </row>
    <row r="1907" spans="1:1">
      <c r="A1907" s="45"/>
    </row>
    <row r="1908" spans="1:1">
      <c r="A1908" s="45"/>
    </row>
    <row r="1909" spans="1:1">
      <c r="A1909" s="45"/>
    </row>
    <row r="1910" spans="1:1">
      <c r="A1910" s="45"/>
    </row>
    <row r="1911" spans="1:1">
      <c r="A1911" s="45"/>
    </row>
    <row r="1912" spans="1:1">
      <c r="A1912" s="45"/>
    </row>
    <row r="1913" spans="1:1">
      <c r="A1913" s="45"/>
    </row>
    <row r="1914" spans="1:1">
      <c r="A1914" s="45"/>
    </row>
    <row r="1915" spans="1:1">
      <c r="A1915" s="45"/>
    </row>
    <row r="1916" spans="1:1">
      <c r="A1916" s="45"/>
    </row>
    <row r="1917" spans="1:1">
      <c r="A1917" s="45"/>
    </row>
    <row r="1918" spans="1:1">
      <c r="A1918" s="45"/>
    </row>
    <row r="1919" spans="1:1">
      <c r="A1919" s="45"/>
    </row>
    <row r="1920" spans="1:1">
      <c r="A1920" s="45"/>
    </row>
    <row r="1921" spans="1:1">
      <c r="A1921" s="45"/>
    </row>
    <row r="1922" spans="1:1">
      <c r="A1922" s="45"/>
    </row>
    <row r="1923" spans="1:1">
      <c r="A1923" s="45"/>
    </row>
    <row r="1924" spans="1:1">
      <c r="A1924" s="45"/>
    </row>
    <row r="1925" spans="1:1">
      <c r="A1925" s="45"/>
    </row>
    <row r="1926" spans="1:1">
      <c r="A1926" s="45"/>
    </row>
    <row r="1927" spans="1:1">
      <c r="A1927" s="45"/>
    </row>
    <row r="1928" spans="1:1">
      <c r="A1928" s="45"/>
    </row>
    <row r="1929" spans="1:1">
      <c r="A1929" s="45"/>
    </row>
    <row r="1930" spans="1:1">
      <c r="A1930" s="45"/>
    </row>
    <row r="1931" spans="1:1">
      <c r="A1931" s="45"/>
    </row>
    <row r="1932" spans="1:1">
      <c r="A1932" s="45"/>
    </row>
    <row r="1933" spans="1:1">
      <c r="A1933" s="45"/>
    </row>
    <row r="1934" spans="1:1">
      <c r="A1934" s="45"/>
    </row>
    <row r="1935" spans="1:1">
      <c r="A1935" s="45"/>
    </row>
    <row r="1936" spans="1:1">
      <c r="A1936" s="45"/>
    </row>
    <row r="1937" spans="1:1">
      <c r="A1937" s="45"/>
    </row>
    <row r="1938" spans="1:1">
      <c r="A1938" s="45"/>
    </row>
    <row r="1939" spans="1:1">
      <c r="A1939" s="45"/>
    </row>
    <row r="1940" spans="1:1">
      <c r="A1940" s="45"/>
    </row>
    <row r="1941" spans="1:1">
      <c r="A1941" s="45"/>
    </row>
    <row r="1942" spans="1:1">
      <c r="A1942" s="45"/>
    </row>
    <row r="1943" spans="1:1">
      <c r="A1943" s="45"/>
    </row>
    <row r="1944" spans="1:1">
      <c r="A1944" s="45"/>
    </row>
    <row r="1945" spans="1:1">
      <c r="A1945" s="45"/>
    </row>
    <row r="1946" spans="1:1">
      <c r="A1946" s="45"/>
    </row>
    <row r="1947" spans="1:1">
      <c r="A1947" s="45"/>
    </row>
    <row r="1948" spans="1:1">
      <c r="A1948" s="45"/>
    </row>
    <row r="1949" spans="1:1">
      <c r="A1949" s="45"/>
    </row>
    <row r="1950" spans="1:1">
      <c r="A1950" s="45"/>
    </row>
    <row r="1951" spans="1:1">
      <c r="A1951" s="45"/>
    </row>
    <row r="1952" spans="1:1">
      <c r="A1952" s="45"/>
    </row>
    <row r="1953" spans="1:1">
      <c r="A1953" s="45"/>
    </row>
    <row r="1954" spans="1:1">
      <c r="A1954" s="45"/>
    </row>
    <row r="1955" spans="1:1">
      <c r="A1955" s="45"/>
    </row>
    <row r="1956" spans="1:1">
      <c r="A1956" s="45"/>
    </row>
    <row r="1957" spans="1:1">
      <c r="A1957" s="45"/>
    </row>
    <row r="1958" spans="1:1">
      <c r="A1958" s="45"/>
    </row>
    <row r="1959" spans="1:1">
      <c r="A1959" s="45"/>
    </row>
    <row r="1960" spans="1:1">
      <c r="A1960" s="45"/>
    </row>
    <row r="1961" spans="1:1">
      <c r="A1961" s="45"/>
    </row>
    <row r="1962" spans="1:1">
      <c r="A1962" s="45"/>
    </row>
    <row r="1963" spans="1:1">
      <c r="A1963" s="45"/>
    </row>
    <row r="1964" spans="1:1">
      <c r="A1964" s="45"/>
    </row>
    <row r="1965" spans="1:1">
      <c r="A1965" s="45"/>
    </row>
    <row r="1966" spans="1:1">
      <c r="A1966" s="45"/>
    </row>
    <row r="1967" spans="1:1">
      <c r="A1967" s="45"/>
    </row>
    <row r="1968" spans="1:1">
      <c r="A1968" s="45"/>
    </row>
    <row r="1969" spans="1:1">
      <c r="A1969" s="45"/>
    </row>
    <row r="1970" spans="1:1">
      <c r="A1970" s="45"/>
    </row>
    <row r="1971" spans="1:1">
      <c r="A1971" s="45"/>
    </row>
    <row r="1972" spans="1:1">
      <c r="A1972" s="45"/>
    </row>
    <row r="1973" spans="1:1">
      <c r="A1973" s="45"/>
    </row>
    <row r="1974" spans="1:1">
      <c r="A1974" s="45"/>
    </row>
    <row r="1975" spans="1:1">
      <c r="A1975" s="45"/>
    </row>
    <row r="1976" spans="1:1">
      <c r="A1976" s="45"/>
    </row>
    <row r="1977" spans="1:1">
      <c r="A1977" s="45"/>
    </row>
    <row r="1978" spans="1:1">
      <c r="A1978" s="45"/>
    </row>
    <row r="1979" spans="1:1">
      <c r="A1979" s="45"/>
    </row>
    <row r="1980" spans="1:1">
      <c r="A1980" s="45"/>
    </row>
    <row r="1981" spans="1:1">
      <c r="A1981" s="45"/>
    </row>
    <row r="1982" spans="1:1">
      <c r="A1982" s="45"/>
    </row>
    <row r="1983" spans="1:1">
      <c r="A1983" s="45"/>
    </row>
    <row r="1984" spans="1:1">
      <c r="A1984" s="45"/>
    </row>
    <row r="1985" spans="1:1">
      <c r="A1985" s="45"/>
    </row>
    <row r="1986" spans="1:1">
      <c r="A1986" s="45"/>
    </row>
    <row r="1987" spans="1:1">
      <c r="A1987" s="45"/>
    </row>
    <row r="1988" spans="1:1">
      <c r="A1988" s="45"/>
    </row>
    <row r="1989" spans="1:1">
      <c r="A1989" s="45"/>
    </row>
    <row r="1990" spans="1:1">
      <c r="A1990" s="45"/>
    </row>
    <row r="1991" spans="1:1">
      <c r="A1991" s="45"/>
    </row>
    <row r="1992" spans="1:1">
      <c r="A1992" s="45"/>
    </row>
    <row r="1993" spans="1:1">
      <c r="A1993" s="45"/>
    </row>
    <row r="1994" spans="1:1">
      <c r="A1994" s="45"/>
    </row>
    <row r="1995" spans="1:1">
      <c r="A1995" s="45"/>
    </row>
    <row r="1996" spans="1:1">
      <c r="A1996" s="45"/>
    </row>
    <row r="1997" spans="1:1">
      <c r="A1997" s="45"/>
    </row>
    <row r="1998" spans="1:1">
      <c r="A1998" s="45"/>
    </row>
    <row r="1999" spans="1:1">
      <c r="A1999" s="45"/>
    </row>
    <row r="2000" spans="1:1">
      <c r="A2000" s="45"/>
    </row>
    <row r="2001" spans="1:1">
      <c r="A2001" s="45"/>
    </row>
    <row r="2002" spans="1:1">
      <c r="A2002" s="45"/>
    </row>
    <row r="2003" spans="1:1">
      <c r="A2003" s="45"/>
    </row>
    <row r="2004" spans="1:1">
      <c r="A2004" s="45"/>
    </row>
    <row r="2005" spans="1:1">
      <c r="A2005" s="45"/>
    </row>
    <row r="2006" spans="1:1">
      <c r="A2006" s="45"/>
    </row>
    <row r="2007" spans="1:1">
      <c r="A2007" s="45"/>
    </row>
    <row r="2008" spans="1:1">
      <c r="A2008" s="45"/>
    </row>
    <row r="2009" spans="1:1">
      <c r="A2009" s="45"/>
    </row>
    <row r="2010" spans="1:1">
      <c r="A2010" s="45"/>
    </row>
    <row r="2011" spans="1:1">
      <c r="A2011" s="45"/>
    </row>
    <row r="2012" spans="1:1">
      <c r="A2012" s="45"/>
    </row>
    <row r="2013" spans="1:1">
      <c r="A2013" s="45"/>
    </row>
    <row r="2014" spans="1:1">
      <c r="A2014" s="45"/>
    </row>
    <row r="2015" spans="1:1">
      <c r="A2015" s="45"/>
    </row>
    <row r="2016" spans="1:1">
      <c r="A2016" s="45"/>
    </row>
    <row r="2017" spans="1:1">
      <c r="A2017" s="45"/>
    </row>
    <row r="2018" spans="1:1">
      <c r="A2018" s="45"/>
    </row>
    <row r="2019" spans="1:1">
      <c r="A2019" s="45"/>
    </row>
    <row r="2020" spans="1:1">
      <c r="A2020" s="45"/>
    </row>
    <row r="2021" spans="1:1">
      <c r="A2021" s="45"/>
    </row>
    <row r="2022" spans="1:1">
      <c r="A2022" s="45"/>
    </row>
    <row r="2023" spans="1:1">
      <c r="A2023" s="45"/>
    </row>
    <row r="2024" spans="1:1">
      <c r="A2024" s="45"/>
    </row>
    <row r="2025" spans="1:1">
      <c r="A2025" s="45"/>
    </row>
    <row r="2026" spans="1:1">
      <c r="A2026" s="45"/>
    </row>
    <row r="2027" spans="1:1">
      <c r="A2027" s="45"/>
    </row>
    <row r="2028" spans="1:1">
      <c r="A2028" s="45"/>
    </row>
    <row r="2029" spans="1:1">
      <c r="A2029" s="45"/>
    </row>
    <row r="2030" spans="1:1">
      <c r="A2030" s="45"/>
    </row>
    <row r="2031" spans="1:1">
      <c r="A2031" s="45"/>
    </row>
    <row r="2032" spans="1:1">
      <c r="A2032" s="45"/>
    </row>
    <row r="2033" spans="1:1">
      <c r="A2033" s="45"/>
    </row>
    <row r="2034" spans="1:1">
      <c r="A2034" s="45"/>
    </row>
    <row r="2035" spans="1:1">
      <c r="A2035" s="45"/>
    </row>
    <row r="2036" spans="1:1">
      <c r="A2036" s="45"/>
    </row>
    <row r="2037" spans="1:1">
      <c r="A2037" s="45"/>
    </row>
    <row r="2038" spans="1:1">
      <c r="A2038" s="45"/>
    </row>
    <row r="2039" spans="1:1">
      <c r="A2039" s="45"/>
    </row>
    <row r="2040" spans="1:1">
      <c r="A2040" s="45"/>
    </row>
    <row r="2041" spans="1:1">
      <c r="A2041" s="45"/>
    </row>
    <row r="2042" spans="1:1">
      <c r="A2042" s="45"/>
    </row>
    <row r="2043" spans="1:1">
      <c r="A2043" s="45"/>
    </row>
    <row r="2044" spans="1:1">
      <c r="A2044" s="45"/>
    </row>
    <row r="2045" spans="1:1">
      <c r="A2045" s="45"/>
    </row>
    <row r="2046" spans="1:1">
      <c r="A2046" s="45"/>
    </row>
    <row r="2047" spans="1:1">
      <c r="A2047" s="45"/>
    </row>
    <row r="2048" spans="1:1">
      <c r="A2048" s="45"/>
    </row>
    <row r="2049" spans="1:1">
      <c r="A2049" s="45"/>
    </row>
    <row r="2050" spans="1:1">
      <c r="A2050" s="45"/>
    </row>
    <row r="2051" spans="1:1">
      <c r="A2051" s="45"/>
    </row>
    <row r="2052" spans="1:1">
      <c r="A2052" s="45"/>
    </row>
    <row r="2053" spans="1:1">
      <c r="A2053" s="45"/>
    </row>
    <row r="2054" spans="1:1">
      <c r="A2054" s="45"/>
    </row>
    <row r="2055" spans="1:1">
      <c r="A2055" s="45"/>
    </row>
    <row r="2056" spans="1:1">
      <c r="A2056" s="45"/>
    </row>
    <row r="2057" spans="1:1">
      <c r="A2057" s="45"/>
    </row>
    <row r="2058" spans="1:1">
      <c r="A2058" s="45"/>
    </row>
    <row r="2059" spans="1:1">
      <c r="A2059" s="45"/>
    </row>
    <row r="2060" spans="1:1">
      <c r="A2060" s="45"/>
    </row>
    <row r="2061" spans="1:1">
      <c r="A2061" s="45"/>
    </row>
    <row r="2062" spans="1:1">
      <c r="A2062" s="45"/>
    </row>
    <row r="2063" spans="1:1">
      <c r="A2063" s="45"/>
    </row>
    <row r="2064" spans="1:1">
      <c r="A2064" s="45"/>
    </row>
    <row r="2065" spans="1:1">
      <c r="A2065" s="45"/>
    </row>
    <row r="2066" spans="1:1">
      <c r="A2066" s="45"/>
    </row>
    <row r="2067" spans="1:1">
      <c r="A2067" s="45"/>
    </row>
    <row r="2068" spans="1:1">
      <c r="A2068" s="45"/>
    </row>
    <row r="2069" spans="1:1">
      <c r="A2069" s="45"/>
    </row>
    <row r="2070" spans="1:1">
      <c r="A2070" s="45"/>
    </row>
    <row r="2071" spans="1:1">
      <c r="A2071" s="45"/>
    </row>
    <row r="2072" spans="1:1">
      <c r="A2072" s="45"/>
    </row>
    <row r="2073" spans="1:1">
      <c r="A2073" s="45"/>
    </row>
    <row r="2074" spans="1:1">
      <c r="A2074" s="45"/>
    </row>
    <row r="2075" spans="1:1">
      <c r="A2075" s="45"/>
    </row>
    <row r="2076" spans="1:1">
      <c r="A2076" s="45"/>
    </row>
    <row r="2077" spans="1:1">
      <c r="A2077" s="45"/>
    </row>
    <row r="2078" spans="1:1">
      <c r="A2078" s="45"/>
    </row>
    <row r="2079" spans="1:1">
      <c r="A2079" s="45"/>
    </row>
    <row r="2080" spans="1:1">
      <c r="A2080" s="45"/>
    </row>
    <row r="2081" spans="1:1">
      <c r="A2081" s="45"/>
    </row>
    <row r="2082" spans="1:1">
      <c r="A2082" s="45"/>
    </row>
    <row r="2083" spans="1:1">
      <c r="A2083" s="45"/>
    </row>
    <row r="2084" spans="1:1">
      <c r="A2084" s="45"/>
    </row>
    <row r="2085" spans="1:1">
      <c r="A2085" s="45"/>
    </row>
    <row r="2086" spans="1:1">
      <c r="A2086" s="45"/>
    </row>
    <row r="2087" spans="1:1">
      <c r="A2087" s="45"/>
    </row>
    <row r="2088" spans="1:1">
      <c r="A2088" s="45"/>
    </row>
    <row r="2089" spans="1:1">
      <c r="A2089" s="45"/>
    </row>
    <row r="2090" spans="1:1">
      <c r="A2090" s="45"/>
    </row>
    <row r="2091" spans="1:1">
      <c r="A2091" s="45"/>
    </row>
    <row r="2092" spans="1:1">
      <c r="A2092" s="45"/>
    </row>
    <row r="2093" spans="1:1">
      <c r="A2093" s="45"/>
    </row>
    <row r="2094" spans="1:1">
      <c r="A2094" s="45"/>
    </row>
    <row r="2095" spans="1:1">
      <c r="A2095" s="45"/>
    </row>
    <row r="2096" spans="1:1">
      <c r="A2096" s="45"/>
    </row>
    <row r="2097" spans="1:1">
      <c r="A2097" s="45"/>
    </row>
    <row r="2098" spans="1:1">
      <c r="A2098" s="45"/>
    </row>
    <row r="2099" spans="1:1">
      <c r="A2099" s="45"/>
    </row>
    <row r="2100" spans="1:1">
      <c r="A2100" s="45"/>
    </row>
    <row r="2101" spans="1:1">
      <c r="A2101" s="45"/>
    </row>
    <row r="2102" spans="1:1">
      <c r="A2102" s="45"/>
    </row>
    <row r="2103" spans="1:1">
      <c r="A2103" s="45"/>
    </row>
    <row r="2104" spans="1:1">
      <c r="A2104" s="45"/>
    </row>
    <row r="2105" spans="1:1">
      <c r="A2105" s="45"/>
    </row>
    <row r="2106" spans="1:1">
      <c r="A2106" s="45"/>
    </row>
    <row r="2107" spans="1:1">
      <c r="A2107" s="45"/>
    </row>
    <row r="2108" spans="1:1">
      <c r="A2108" s="45"/>
    </row>
    <row r="2109" spans="1:1">
      <c r="A2109" s="45"/>
    </row>
    <row r="2110" spans="1:1">
      <c r="A2110" s="45"/>
    </row>
    <row r="2111" spans="1:1">
      <c r="A2111" s="45"/>
    </row>
    <row r="2112" spans="1:1">
      <c r="A2112" s="45"/>
    </row>
    <row r="2113" spans="1:1">
      <c r="A2113" s="45"/>
    </row>
    <row r="2114" spans="1:1">
      <c r="A2114" s="45"/>
    </row>
    <row r="2115" spans="1:1">
      <c r="A2115" s="45"/>
    </row>
    <row r="2116" spans="1:1">
      <c r="A2116" s="45"/>
    </row>
    <row r="2117" spans="1:1">
      <c r="A2117" s="45"/>
    </row>
    <row r="2118" spans="1:1">
      <c r="A2118" s="45"/>
    </row>
    <row r="2119" spans="1:1">
      <c r="A2119" s="45"/>
    </row>
    <row r="2120" spans="1:1">
      <c r="A2120" s="45"/>
    </row>
    <row r="2121" spans="1:1">
      <c r="A2121" s="45"/>
    </row>
    <row r="2122" spans="1:1">
      <c r="A2122" s="45"/>
    </row>
    <row r="2123" spans="1:1">
      <c r="A2123" s="45"/>
    </row>
    <row r="2124" spans="1:1">
      <c r="A2124" s="45"/>
    </row>
    <row r="2125" spans="1:1">
      <c r="A2125" s="45"/>
    </row>
    <row r="2126" spans="1:1">
      <c r="A2126" s="45"/>
    </row>
    <row r="2127" spans="1:1">
      <c r="A2127" s="45"/>
    </row>
    <row r="2128" spans="1:1">
      <c r="A2128" s="45"/>
    </row>
    <row r="2129" spans="1:1">
      <c r="A2129" s="45"/>
    </row>
    <row r="2130" spans="1:1">
      <c r="A2130" s="45"/>
    </row>
    <row r="2131" spans="1:1">
      <c r="A2131" s="45"/>
    </row>
    <row r="2132" spans="1:1">
      <c r="A2132" s="45"/>
    </row>
    <row r="2133" spans="1:1">
      <c r="A2133" s="45"/>
    </row>
    <row r="2134" spans="1:1">
      <c r="A2134" s="45"/>
    </row>
    <row r="2135" spans="1:1">
      <c r="A2135" s="45"/>
    </row>
    <row r="2136" spans="1:1">
      <c r="A2136" s="45"/>
    </row>
    <row r="2137" spans="1:1">
      <c r="A2137" s="45"/>
    </row>
    <row r="2138" spans="1:1">
      <c r="A2138" s="45"/>
    </row>
    <row r="2139" spans="1:1">
      <c r="A2139" s="45"/>
    </row>
    <row r="2140" spans="1:1">
      <c r="A2140" s="45"/>
    </row>
    <row r="2141" spans="1:1">
      <c r="A2141" s="45"/>
    </row>
    <row r="2142" spans="1:1">
      <c r="A2142" s="45"/>
    </row>
    <row r="2143" spans="1:1">
      <c r="A2143" s="45"/>
    </row>
    <row r="2144" spans="1:1">
      <c r="A2144" s="45"/>
    </row>
    <row r="2145" spans="1:1">
      <c r="A2145" s="45"/>
    </row>
    <row r="2146" spans="1:1">
      <c r="A2146" s="45"/>
    </row>
    <row r="2147" spans="1:1">
      <c r="A2147" s="45"/>
    </row>
    <row r="2148" spans="1:1">
      <c r="A2148" s="45"/>
    </row>
    <row r="2149" spans="1:1">
      <c r="A2149" s="45"/>
    </row>
    <row r="2150" spans="1:1">
      <c r="A2150" s="45"/>
    </row>
    <row r="2151" spans="1:1">
      <c r="A2151" s="45"/>
    </row>
    <row r="2152" spans="1:1">
      <c r="A2152" s="45"/>
    </row>
    <row r="2153" spans="1:1">
      <c r="A2153" s="45"/>
    </row>
    <row r="2154" spans="1:1">
      <c r="A2154" s="45"/>
    </row>
    <row r="2155" spans="1:1">
      <c r="A2155" s="45"/>
    </row>
    <row r="2156" spans="1:1">
      <c r="A2156" s="45"/>
    </row>
    <row r="2157" spans="1:1">
      <c r="A2157" s="45"/>
    </row>
    <row r="2158" spans="1:1">
      <c r="A2158" s="45"/>
    </row>
    <row r="2159" spans="1:1">
      <c r="A2159" s="45"/>
    </row>
    <row r="2160" spans="1:1">
      <c r="A2160" s="45"/>
    </row>
    <row r="2161" spans="1:1">
      <c r="A2161" s="45"/>
    </row>
    <row r="2162" spans="1:1">
      <c r="A2162" s="45"/>
    </row>
    <row r="2163" spans="1:1">
      <c r="A2163" s="45"/>
    </row>
    <row r="2164" spans="1:1">
      <c r="A2164" s="45"/>
    </row>
    <row r="2165" spans="1:1">
      <c r="A2165" s="45"/>
    </row>
    <row r="2166" spans="1:1">
      <c r="A2166" s="45"/>
    </row>
    <row r="2167" spans="1:1">
      <c r="A2167" s="45"/>
    </row>
    <row r="2168" spans="1:1">
      <c r="A2168" s="45"/>
    </row>
    <row r="2169" spans="1:1">
      <c r="A2169" s="45"/>
    </row>
    <row r="2170" spans="1:1">
      <c r="A2170" s="45"/>
    </row>
    <row r="2171" spans="1:1">
      <c r="A2171" s="45"/>
    </row>
    <row r="2172" spans="1:1">
      <c r="A2172" s="45"/>
    </row>
    <row r="2173" spans="1:1">
      <c r="A2173" s="45"/>
    </row>
    <row r="2174" spans="1:1">
      <c r="A2174" s="45"/>
    </row>
    <row r="2175" spans="1:1">
      <c r="A2175" s="45"/>
    </row>
    <row r="2176" spans="1:1">
      <c r="A2176" s="45"/>
    </row>
    <row r="2177" spans="1:1">
      <c r="A2177" s="45"/>
    </row>
    <row r="2178" spans="1:1">
      <c r="A2178" s="45"/>
    </row>
    <row r="2179" spans="1:1">
      <c r="A2179" s="45"/>
    </row>
    <row r="2180" spans="1:1">
      <c r="A2180" s="45"/>
    </row>
    <row r="2181" spans="1:1">
      <c r="A2181" s="45"/>
    </row>
    <row r="2182" spans="1:1">
      <c r="A2182" s="45"/>
    </row>
    <row r="2183" spans="1:1">
      <c r="A2183" s="45"/>
    </row>
    <row r="2184" spans="1:1">
      <c r="A2184" s="45"/>
    </row>
    <row r="2185" spans="1:1">
      <c r="A2185" s="45"/>
    </row>
    <row r="2186" spans="1:1">
      <c r="A2186" s="45"/>
    </row>
    <row r="2187" spans="1:1">
      <c r="A2187" s="45"/>
    </row>
    <row r="2188" spans="1:1">
      <c r="A2188" s="45"/>
    </row>
    <row r="2189" spans="1:1">
      <c r="A2189" s="45"/>
    </row>
    <row r="2190" spans="1:1">
      <c r="A2190" s="45"/>
    </row>
    <row r="2191" spans="1:1">
      <c r="A2191" s="45"/>
    </row>
    <row r="2192" spans="1:1">
      <c r="A2192" s="45"/>
    </row>
    <row r="2193" spans="1:1">
      <c r="A2193" s="45"/>
    </row>
    <row r="2194" spans="1:1">
      <c r="A2194" s="45"/>
    </row>
    <row r="2195" spans="1:1">
      <c r="A2195" s="45"/>
    </row>
    <row r="2196" spans="1:1">
      <c r="A2196" s="45"/>
    </row>
    <row r="2197" spans="1:1">
      <c r="A2197" s="45"/>
    </row>
    <row r="2198" spans="1:1">
      <c r="A2198" s="45"/>
    </row>
    <row r="2199" spans="1:1">
      <c r="A2199" s="45"/>
    </row>
    <row r="2200" spans="1:1">
      <c r="A2200" s="45"/>
    </row>
    <row r="2201" spans="1:1">
      <c r="A2201" s="45"/>
    </row>
    <row r="2202" spans="1:1">
      <c r="A2202" s="45"/>
    </row>
    <row r="2203" spans="1:1">
      <c r="A2203" s="45"/>
    </row>
    <row r="2204" spans="1:1">
      <c r="A2204" s="45"/>
    </row>
    <row r="2205" spans="1:1">
      <c r="A2205" s="45"/>
    </row>
    <row r="2206" spans="1:1">
      <c r="A2206" s="45"/>
    </row>
    <row r="2207" spans="1:1">
      <c r="A2207" s="45"/>
    </row>
    <row r="2208" spans="1:1">
      <c r="A2208" s="45"/>
    </row>
    <row r="2209" spans="1:1">
      <c r="A2209" s="45"/>
    </row>
    <row r="2210" spans="1:1">
      <c r="A2210" s="45"/>
    </row>
    <row r="2211" spans="1:1">
      <c r="A2211" s="45"/>
    </row>
    <row r="2212" spans="1:1">
      <c r="A2212" s="45"/>
    </row>
    <row r="2213" spans="1:1">
      <c r="A2213" s="45"/>
    </row>
    <row r="2214" spans="1:1">
      <c r="A2214" s="45"/>
    </row>
    <row r="2215" spans="1:1">
      <c r="A2215" s="45"/>
    </row>
    <row r="2216" spans="1:1">
      <c r="A2216" s="45"/>
    </row>
    <row r="2217" spans="1:1">
      <c r="A2217" s="45"/>
    </row>
    <row r="2218" spans="1:1">
      <c r="A2218" s="45"/>
    </row>
    <row r="2219" spans="1:1">
      <c r="A2219" s="45"/>
    </row>
    <row r="2220" spans="1:1">
      <c r="A2220" s="45"/>
    </row>
    <row r="2221" spans="1:1">
      <c r="A2221" s="45"/>
    </row>
    <row r="2222" spans="1:1">
      <c r="A2222" s="45"/>
    </row>
    <row r="2223" spans="1:1">
      <c r="A2223" s="45"/>
    </row>
    <row r="2224" spans="1:1">
      <c r="A2224" s="45"/>
    </row>
    <row r="2225" spans="1:1">
      <c r="A2225" s="45"/>
    </row>
    <row r="2226" spans="1:1">
      <c r="A2226" s="45"/>
    </row>
    <row r="2227" spans="1:1">
      <c r="A2227" s="45"/>
    </row>
    <row r="2228" spans="1:1">
      <c r="A2228" s="45"/>
    </row>
    <row r="2229" spans="1:1">
      <c r="A2229" s="45"/>
    </row>
    <row r="2230" spans="1:1">
      <c r="A2230" s="45"/>
    </row>
    <row r="2231" spans="1:1">
      <c r="A2231" s="45"/>
    </row>
    <row r="2232" spans="1:1">
      <c r="A2232" s="45"/>
    </row>
    <row r="2233" spans="1:1">
      <c r="A2233" s="45"/>
    </row>
    <row r="2234" spans="1:1">
      <c r="A2234" s="45"/>
    </row>
    <row r="2235" spans="1:1">
      <c r="A2235" s="45"/>
    </row>
    <row r="2236" spans="1:1">
      <c r="A2236" s="45"/>
    </row>
    <row r="2237" spans="1:1">
      <c r="A2237" s="45"/>
    </row>
    <row r="2238" spans="1:1">
      <c r="A2238" s="45"/>
    </row>
    <row r="2239" spans="1:1">
      <c r="A2239" s="45"/>
    </row>
    <row r="2240" spans="1:1">
      <c r="A2240" s="45"/>
    </row>
    <row r="2241" spans="1:1">
      <c r="A2241" s="45"/>
    </row>
    <row r="2242" spans="1:1">
      <c r="A2242" s="45"/>
    </row>
    <row r="2243" spans="1:1">
      <c r="A2243" s="45"/>
    </row>
    <row r="2244" spans="1:1">
      <c r="A2244" s="45"/>
    </row>
    <row r="2245" spans="1:1">
      <c r="A2245" s="45"/>
    </row>
    <row r="2246" spans="1:1">
      <c r="A2246" s="45"/>
    </row>
    <row r="2247" spans="1:1">
      <c r="A2247" s="45"/>
    </row>
    <row r="2248" spans="1:1">
      <c r="A2248" s="45"/>
    </row>
    <row r="2249" spans="1:1">
      <c r="A2249" s="45"/>
    </row>
    <row r="2250" spans="1:1">
      <c r="A2250" s="45"/>
    </row>
    <row r="2251" spans="1:1">
      <c r="A2251" s="45"/>
    </row>
    <row r="2252" spans="1:1">
      <c r="A2252" s="45"/>
    </row>
    <row r="2253" spans="1:1">
      <c r="A2253" s="45"/>
    </row>
    <row r="2254" spans="1:1">
      <c r="A2254" s="45"/>
    </row>
    <row r="2255" spans="1:1">
      <c r="A2255" s="45"/>
    </row>
    <row r="2256" spans="1:1">
      <c r="A2256" s="45"/>
    </row>
    <row r="2257" spans="1:1">
      <c r="A2257" s="45"/>
    </row>
    <row r="2258" spans="1:1">
      <c r="A2258" s="45"/>
    </row>
    <row r="2259" spans="1:1">
      <c r="A2259" s="45"/>
    </row>
    <row r="2260" spans="1:1">
      <c r="A2260" s="45"/>
    </row>
    <row r="2261" spans="1:1">
      <c r="A2261" s="45"/>
    </row>
    <row r="2262" spans="1:1">
      <c r="A2262" s="45"/>
    </row>
    <row r="2263" spans="1:1">
      <c r="A2263" s="45"/>
    </row>
    <row r="2264" spans="1:1">
      <c r="A2264" s="45"/>
    </row>
    <row r="2265" spans="1:1">
      <c r="A2265" s="45"/>
    </row>
    <row r="2266" spans="1:1">
      <c r="A2266" s="45"/>
    </row>
    <row r="2267" spans="1:1">
      <c r="A2267" s="45"/>
    </row>
    <row r="2268" spans="1:1">
      <c r="A2268" s="45"/>
    </row>
    <row r="2269" spans="1:1">
      <c r="A2269" s="45"/>
    </row>
    <row r="2270" spans="1:1">
      <c r="A2270" s="45"/>
    </row>
    <row r="2271" spans="1:1">
      <c r="A2271" s="45"/>
    </row>
    <row r="2272" spans="1:1">
      <c r="A2272" s="45"/>
    </row>
    <row r="2273" spans="1:1">
      <c r="A2273" s="45"/>
    </row>
    <row r="2274" spans="1:1">
      <c r="A2274" s="45"/>
    </row>
    <row r="2275" spans="1:1">
      <c r="A2275" s="45"/>
    </row>
    <row r="2276" spans="1:1">
      <c r="A2276" s="45"/>
    </row>
    <row r="2277" spans="1:1">
      <c r="A2277" s="45"/>
    </row>
    <row r="2278" spans="1:1">
      <c r="A2278" s="45"/>
    </row>
    <row r="2279" spans="1:1">
      <c r="A2279" s="45"/>
    </row>
    <row r="2280" spans="1:1">
      <c r="A2280" s="45"/>
    </row>
    <row r="2281" spans="1:1">
      <c r="A2281" s="45"/>
    </row>
    <row r="2282" spans="1:1">
      <c r="A2282" s="45"/>
    </row>
    <row r="2283" spans="1:1">
      <c r="A2283" s="45"/>
    </row>
    <row r="2284" spans="1:1">
      <c r="A2284" s="45"/>
    </row>
    <row r="2285" spans="1:1">
      <c r="A2285" s="45"/>
    </row>
    <row r="2286" spans="1:1">
      <c r="A2286" s="45"/>
    </row>
    <row r="2287" spans="1:1">
      <c r="A2287" s="45"/>
    </row>
    <row r="2288" spans="1:1">
      <c r="A2288" s="45"/>
    </row>
    <row r="2289" spans="1:1">
      <c r="A2289" s="45"/>
    </row>
    <row r="2290" spans="1:1">
      <c r="A2290" s="45"/>
    </row>
    <row r="2291" spans="1:1">
      <c r="A2291" s="45"/>
    </row>
    <row r="2292" spans="1:1">
      <c r="A2292" s="45"/>
    </row>
    <row r="2293" spans="1:1">
      <c r="A2293" s="45"/>
    </row>
    <row r="2294" spans="1:1">
      <c r="A2294" s="45"/>
    </row>
    <row r="2295" spans="1:1">
      <c r="A2295" s="45"/>
    </row>
    <row r="2296" spans="1:1">
      <c r="A2296" s="45"/>
    </row>
    <row r="2297" spans="1:1">
      <c r="A2297" s="45"/>
    </row>
    <row r="2298" spans="1:1">
      <c r="A2298" s="45"/>
    </row>
    <row r="2299" spans="1:1">
      <c r="A2299" s="45"/>
    </row>
    <row r="2300" spans="1:1">
      <c r="A2300" s="45"/>
    </row>
    <row r="2301" spans="1:1">
      <c r="A2301" s="45"/>
    </row>
    <row r="2302" spans="1:1">
      <c r="A2302" s="45"/>
    </row>
    <row r="2303" spans="1:1">
      <c r="A2303" s="45"/>
    </row>
    <row r="2304" spans="1:1">
      <c r="A2304" s="45"/>
    </row>
    <row r="2305" spans="1:1">
      <c r="A2305" s="45"/>
    </row>
    <row r="2306" spans="1:1">
      <c r="A2306" s="45"/>
    </row>
    <row r="2307" spans="1:1">
      <c r="A2307" s="45"/>
    </row>
    <row r="2308" spans="1:1">
      <c r="A2308" s="45"/>
    </row>
    <row r="2309" spans="1:1">
      <c r="A2309" s="45"/>
    </row>
    <row r="2310" spans="1:1">
      <c r="A2310" s="45"/>
    </row>
    <row r="2311" spans="1:1">
      <c r="A2311" s="45"/>
    </row>
    <row r="2312" spans="1:1">
      <c r="A2312" s="45"/>
    </row>
    <row r="2313" spans="1:1">
      <c r="A2313" s="45"/>
    </row>
    <row r="2314" spans="1:1">
      <c r="A2314" s="45"/>
    </row>
    <row r="2315" spans="1:1">
      <c r="A2315" s="45"/>
    </row>
    <row r="2316" spans="1:1">
      <c r="A2316" s="45"/>
    </row>
    <row r="2317" spans="1:1">
      <c r="A2317" s="45"/>
    </row>
    <row r="2318" spans="1:1">
      <c r="A2318" s="45"/>
    </row>
    <row r="2319" spans="1:1">
      <c r="A2319" s="45"/>
    </row>
    <row r="2320" spans="1:1">
      <c r="A2320" s="45"/>
    </row>
    <row r="2321" spans="1:1">
      <c r="A2321" s="45"/>
    </row>
    <row r="2322" spans="1:1">
      <c r="A2322" s="45"/>
    </row>
    <row r="2323" spans="1:1">
      <c r="A2323" s="45"/>
    </row>
    <row r="2324" spans="1:1">
      <c r="A2324" s="45"/>
    </row>
    <row r="2325" spans="1:1">
      <c r="A2325" s="45"/>
    </row>
    <row r="2326" spans="1:1">
      <c r="A2326" s="45"/>
    </row>
    <row r="2327" spans="1:1">
      <c r="A2327" s="45"/>
    </row>
    <row r="2328" spans="1:1">
      <c r="A2328" s="45"/>
    </row>
    <row r="2329" spans="1:1">
      <c r="A2329" s="45"/>
    </row>
    <row r="2330" spans="1:1">
      <c r="A2330" s="45"/>
    </row>
    <row r="2331" spans="1:1">
      <c r="A2331" s="45"/>
    </row>
    <row r="2332" spans="1:1">
      <c r="A2332" s="45"/>
    </row>
    <row r="2333" spans="1:1">
      <c r="A2333" s="45"/>
    </row>
    <row r="2334" spans="1:1">
      <c r="A2334" s="45"/>
    </row>
    <row r="2335" spans="1:1">
      <c r="A2335" s="45"/>
    </row>
    <row r="2336" spans="1:1">
      <c r="A2336" s="45"/>
    </row>
    <row r="2337" spans="1:1">
      <c r="A2337" s="45"/>
    </row>
    <row r="2338" spans="1:1">
      <c r="A2338" s="45"/>
    </row>
    <row r="2339" spans="1:1">
      <c r="A2339" s="45"/>
    </row>
    <row r="2340" spans="1:1">
      <c r="A2340" s="45"/>
    </row>
    <row r="2341" spans="1:1">
      <c r="A2341" s="45"/>
    </row>
    <row r="2342" spans="1:1">
      <c r="A2342" s="45"/>
    </row>
    <row r="2343" spans="1:1">
      <c r="A2343" s="45"/>
    </row>
    <row r="2344" spans="1:1">
      <c r="A2344" s="45"/>
    </row>
    <row r="2345" spans="1:1">
      <c r="A2345" s="45"/>
    </row>
    <row r="2346" spans="1:1">
      <c r="A2346" s="45"/>
    </row>
    <row r="2347" spans="1:1">
      <c r="A2347" s="45"/>
    </row>
    <row r="2348" spans="1:1">
      <c r="A2348" s="45"/>
    </row>
    <row r="2349" spans="1:1">
      <c r="A2349" s="45"/>
    </row>
    <row r="2350" spans="1:1">
      <c r="A2350" s="45"/>
    </row>
    <row r="2351" spans="1:1">
      <c r="A2351" s="45"/>
    </row>
    <row r="2352" spans="1:1">
      <c r="A2352" s="45"/>
    </row>
    <row r="2353" spans="1:1">
      <c r="A2353" s="45"/>
    </row>
    <row r="2354" spans="1:1">
      <c r="A2354" s="45"/>
    </row>
    <row r="2355" spans="1:1">
      <c r="A2355" s="45"/>
    </row>
    <row r="2356" spans="1:1">
      <c r="A2356" s="45"/>
    </row>
    <row r="2357" spans="1:1">
      <c r="A2357" s="45"/>
    </row>
    <row r="2358" spans="1:1">
      <c r="A2358" s="45"/>
    </row>
    <row r="2359" spans="1:1">
      <c r="A2359" s="45"/>
    </row>
    <row r="2360" spans="1:1">
      <c r="A2360" s="45"/>
    </row>
    <row r="2361" spans="1:1">
      <c r="A2361" s="45"/>
    </row>
    <row r="2362" spans="1:1">
      <c r="A2362" s="45"/>
    </row>
    <row r="2363" spans="1:1">
      <c r="A2363" s="45"/>
    </row>
    <row r="2364" spans="1:1">
      <c r="A2364" s="45"/>
    </row>
    <row r="2365" spans="1:1">
      <c r="A2365" s="45"/>
    </row>
    <row r="2366" spans="1:1">
      <c r="A2366" s="45"/>
    </row>
    <row r="2367" spans="1:1">
      <c r="A2367" s="45"/>
    </row>
    <row r="2368" spans="1:1">
      <c r="A2368" s="45"/>
    </row>
    <row r="2369" spans="1:1">
      <c r="A2369" s="45"/>
    </row>
    <row r="2370" spans="1:1">
      <c r="A2370" s="45"/>
    </row>
    <row r="2371" spans="1:1">
      <c r="A2371" s="45"/>
    </row>
    <row r="2372" spans="1:1">
      <c r="A2372" s="45"/>
    </row>
    <row r="2373" spans="1:1">
      <c r="A2373" s="45"/>
    </row>
    <row r="2374" spans="1:1">
      <c r="A2374" s="45"/>
    </row>
    <row r="2375" spans="1:1">
      <c r="A2375" s="45"/>
    </row>
    <row r="2376" spans="1:1">
      <c r="A2376" s="45"/>
    </row>
    <row r="2377" spans="1:1">
      <c r="A2377" s="45"/>
    </row>
    <row r="2378" spans="1:1">
      <c r="A2378" s="45"/>
    </row>
    <row r="2379" spans="1:1">
      <c r="A2379" s="45"/>
    </row>
    <row r="2380" spans="1:1">
      <c r="A2380" s="45"/>
    </row>
    <row r="2381" spans="1:1">
      <c r="A2381" s="45"/>
    </row>
    <row r="2382" spans="1:1">
      <c r="A2382" s="45"/>
    </row>
    <row r="2383" spans="1:1">
      <c r="A2383" s="45"/>
    </row>
    <row r="2384" spans="1:1">
      <c r="A2384" s="45"/>
    </row>
    <row r="2385" spans="1:1">
      <c r="A2385" s="45"/>
    </row>
    <row r="2386" spans="1:1">
      <c r="A2386" s="45"/>
    </row>
    <row r="2387" spans="1:1">
      <c r="A2387" s="45"/>
    </row>
    <row r="2388" spans="1:1">
      <c r="A2388" s="45"/>
    </row>
    <row r="2389" spans="1:1">
      <c r="A2389" s="45"/>
    </row>
    <row r="2390" spans="1:1">
      <c r="A2390" s="45"/>
    </row>
    <row r="2391" spans="1:1">
      <c r="A2391" s="45"/>
    </row>
    <row r="2392" spans="1:1">
      <c r="A2392" s="45"/>
    </row>
    <row r="2393" spans="1:1">
      <c r="A2393" s="45"/>
    </row>
    <row r="2394" spans="1:1">
      <c r="A2394" s="45"/>
    </row>
    <row r="2395" spans="1:1">
      <c r="A2395" s="45"/>
    </row>
    <row r="2396" spans="1:1">
      <c r="A2396" s="45"/>
    </row>
    <row r="2397" spans="1:1">
      <c r="A2397" s="45"/>
    </row>
    <row r="2398" spans="1:1">
      <c r="A2398" s="45"/>
    </row>
    <row r="2399" spans="1:1">
      <c r="A2399" s="45"/>
    </row>
    <row r="2400" spans="1:1">
      <c r="A2400" s="45"/>
    </row>
    <row r="2401" spans="1:1">
      <c r="A2401" s="45"/>
    </row>
    <row r="2402" spans="1:1">
      <c r="A2402" s="45"/>
    </row>
    <row r="2403" spans="1:1">
      <c r="A2403" s="45"/>
    </row>
    <row r="2404" spans="1:1">
      <c r="A2404" s="45"/>
    </row>
    <row r="2405" spans="1:1">
      <c r="A2405" s="45"/>
    </row>
    <row r="2406" spans="1:1">
      <c r="A2406" s="45"/>
    </row>
    <row r="2407" spans="1:1">
      <c r="A2407" s="45"/>
    </row>
    <row r="2408" spans="1:1">
      <c r="A2408" s="45"/>
    </row>
    <row r="2409" spans="1:1">
      <c r="A2409" s="45"/>
    </row>
    <row r="2410" spans="1:1">
      <c r="A2410" s="45"/>
    </row>
    <row r="2411" spans="1:1">
      <c r="A2411" s="45"/>
    </row>
    <row r="2412" spans="1:1">
      <c r="A2412" s="45"/>
    </row>
    <row r="2413" spans="1:1">
      <c r="A2413" s="45"/>
    </row>
    <row r="2414" spans="1:1">
      <c r="A2414" s="45"/>
    </row>
    <row r="2415" spans="1:1">
      <c r="A2415" s="45"/>
    </row>
    <row r="2416" spans="1:1">
      <c r="A2416" s="45"/>
    </row>
    <row r="2417" spans="1:1">
      <c r="A2417" s="45"/>
    </row>
    <row r="2418" spans="1:1">
      <c r="A2418" s="45"/>
    </row>
    <row r="2419" spans="1:1">
      <c r="A2419" s="45"/>
    </row>
    <row r="2420" spans="1:1">
      <c r="A2420" s="45"/>
    </row>
    <row r="2421" spans="1:1">
      <c r="A2421" s="45"/>
    </row>
    <row r="2422" spans="1:1">
      <c r="A2422" s="45"/>
    </row>
    <row r="2423" spans="1:1">
      <c r="A2423" s="45"/>
    </row>
    <row r="2424" spans="1:1">
      <c r="A2424" s="45"/>
    </row>
    <row r="2425" spans="1:1">
      <c r="A2425" s="45"/>
    </row>
    <row r="2426" spans="1:1">
      <c r="A2426" s="45"/>
    </row>
    <row r="2427" spans="1:1">
      <c r="A2427" s="45"/>
    </row>
    <row r="2428" spans="1:1">
      <c r="A2428" s="45"/>
    </row>
    <row r="2429" spans="1:1">
      <c r="A2429" s="45"/>
    </row>
    <row r="2430" spans="1:1">
      <c r="A2430" s="45"/>
    </row>
    <row r="2431" spans="1:1">
      <c r="A2431" s="45"/>
    </row>
    <row r="2432" spans="1:1">
      <c r="A2432" s="45"/>
    </row>
    <row r="2433" spans="1:1">
      <c r="A2433" s="45"/>
    </row>
    <row r="2434" spans="1:1">
      <c r="A2434" s="45"/>
    </row>
    <row r="2435" spans="1:1">
      <c r="A2435" s="45"/>
    </row>
    <row r="2436" spans="1:1">
      <c r="A2436" s="45"/>
    </row>
    <row r="2437" spans="1:1">
      <c r="A2437" s="45"/>
    </row>
    <row r="2438" spans="1:1">
      <c r="A2438" s="45"/>
    </row>
    <row r="2439" spans="1:1">
      <c r="A2439" s="45"/>
    </row>
    <row r="2440" spans="1:1">
      <c r="A2440" s="45"/>
    </row>
    <row r="2441" spans="1:1">
      <c r="A2441" s="45"/>
    </row>
    <row r="2442" spans="1:1">
      <c r="A2442" s="45"/>
    </row>
    <row r="2443" spans="1:1">
      <c r="A2443" s="45"/>
    </row>
    <row r="2444" spans="1:1">
      <c r="A2444" s="45"/>
    </row>
    <row r="2445" spans="1:1">
      <c r="A2445" s="45"/>
    </row>
    <row r="2446" spans="1:1">
      <c r="A2446" s="45"/>
    </row>
    <row r="2447" spans="1:1">
      <c r="A2447" s="45"/>
    </row>
    <row r="2448" spans="1:1">
      <c r="A2448" s="45"/>
    </row>
    <row r="2449" spans="1:1">
      <c r="A2449" s="45"/>
    </row>
    <row r="2450" spans="1:1">
      <c r="A2450" s="45"/>
    </row>
    <row r="2451" spans="1:1">
      <c r="A2451" s="45"/>
    </row>
    <row r="2452" spans="1:1">
      <c r="A2452" s="45"/>
    </row>
    <row r="2453" spans="1:1">
      <c r="A2453" s="45"/>
    </row>
    <row r="2454" spans="1:1">
      <c r="A2454" s="45"/>
    </row>
    <row r="2455" spans="1:1">
      <c r="A2455" s="45"/>
    </row>
    <row r="2456" spans="1:1">
      <c r="A2456" s="45"/>
    </row>
    <row r="2457" spans="1:1">
      <c r="A2457" s="45"/>
    </row>
    <row r="2458" spans="1:1">
      <c r="A2458" s="45"/>
    </row>
    <row r="2459" spans="1:1">
      <c r="A2459" s="45"/>
    </row>
    <row r="2460" spans="1:1">
      <c r="A2460" s="45"/>
    </row>
    <row r="2461" spans="1:1">
      <c r="A2461" s="45"/>
    </row>
    <row r="2462" spans="1:1">
      <c r="A2462" s="45"/>
    </row>
    <row r="2463" spans="1:1">
      <c r="A2463" s="45"/>
    </row>
    <row r="2464" spans="1:1">
      <c r="A2464" s="45"/>
    </row>
    <row r="2465" spans="1:1">
      <c r="A2465" s="45"/>
    </row>
    <row r="2466" spans="1:1">
      <c r="A2466" s="45"/>
    </row>
    <row r="2467" spans="1:1">
      <c r="A2467" s="45"/>
    </row>
    <row r="2468" spans="1:1">
      <c r="A2468" s="45"/>
    </row>
    <row r="2469" spans="1:1">
      <c r="A2469" s="45"/>
    </row>
    <row r="2470" spans="1:1">
      <c r="A2470" s="45"/>
    </row>
    <row r="2471" spans="1:1">
      <c r="A2471" s="45"/>
    </row>
    <row r="2472" spans="1:1">
      <c r="A2472" s="45"/>
    </row>
    <row r="2473" spans="1:1">
      <c r="A2473" s="45"/>
    </row>
    <row r="2474" spans="1:1">
      <c r="A2474" s="45"/>
    </row>
    <row r="2475" spans="1:1">
      <c r="A2475" s="45"/>
    </row>
    <row r="2476" spans="1:1">
      <c r="A2476" s="45"/>
    </row>
    <row r="2477" spans="1:1">
      <c r="A2477" s="45"/>
    </row>
    <row r="2478" spans="1:1">
      <c r="A2478" s="45"/>
    </row>
    <row r="2479" spans="1:1">
      <c r="A2479" s="45"/>
    </row>
    <row r="2480" spans="1:1">
      <c r="A2480" s="45"/>
    </row>
    <row r="2481" spans="1:1">
      <c r="A2481" s="45"/>
    </row>
    <row r="2482" spans="1:1">
      <c r="A2482" s="45"/>
    </row>
    <row r="2483" spans="1:1">
      <c r="A2483" s="45"/>
    </row>
    <row r="2484" spans="1:1">
      <c r="A2484" s="45"/>
    </row>
    <row r="2485" spans="1:1">
      <c r="A2485" s="45"/>
    </row>
    <row r="2486" spans="1:1">
      <c r="A2486" s="45"/>
    </row>
    <row r="2487" spans="1:1">
      <c r="A2487" s="45"/>
    </row>
    <row r="2488" spans="1:1">
      <c r="A2488" s="45"/>
    </row>
    <row r="2489" spans="1:1">
      <c r="A2489" s="45"/>
    </row>
    <row r="2490" spans="1:1">
      <c r="A2490" s="45"/>
    </row>
    <row r="2491" spans="1:1">
      <c r="A2491" s="45"/>
    </row>
    <row r="2492" spans="1:1">
      <c r="A2492" s="45"/>
    </row>
    <row r="2493" spans="1:1">
      <c r="A2493" s="45"/>
    </row>
    <row r="2494" spans="1:1">
      <c r="A2494" s="45"/>
    </row>
    <row r="2495" spans="1:1">
      <c r="A2495" s="45"/>
    </row>
    <row r="2496" spans="1:1">
      <c r="A2496" s="45"/>
    </row>
    <row r="2497" spans="1:1">
      <c r="A2497" s="45"/>
    </row>
    <row r="2498" spans="1:1">
      <c r="A2498" s="45"/>
    </row>
    <row r="2499" spans="1:1">
      <c r="A2499" s="45"/>
    </row>
    <row r="2500" spans="1:1">
      <c r="A2500" s="45"/>
    </row>
    <row r="2501" spans="1:1">
      <c r="A2501" s="45"/>
    </row>
    <row r="2502" spans="1:1">
      <c r="A2502" s="45"/>
    </row>
    <row r="2503" spans="1:1">
      <c r="A2503" s="45"/>
    </row>
    <row r="2504" spans="1:1">
      <c r="A2504" s="45"/>
    </row>
    <row r="2505" spans="1:1">
      <c r="A2505" s="45"/>
    </row>
    <row r="2506" spans="1:1">
      <c r="A2506" s="45"/>
    </row>
    <row r="2507" spans="1:1">
      <c r="A2507" s="45"/>
    </row>
    <row r="2508" spans="1:1">
      <c r="A2508" s="45"/>
    </row>
    <row r="2509" spans="1:1">
      <c r="A2509" s="45"/>
    </row>
    <row r="2510" spans="1:1">
      <c r="A2510" s="45"/>
    </row>
    <row r="2511" spans="1:1">
      <c r="A2511" s="45"/>
    </row>
    <row r="2512" spans="1:1">
      <c r="A2512" s="45"/>
    </row>
    <row r="2513" spans="1:1">
      <c r="A2513" s="45"/>
    </row>
    <row r="2514" spans="1:1">
      <c r="A2514" s="45"/>
    </row>
    <row r="2515" spans="1:1">
      <c r="A2515" s="45"/>
    </row>
    <row r="2516" spans="1:1">
      <c r="A2516" s="45"/>
    </row>
    <row r="2517" spans="1:1">
      <c r="A2517" s="45"/>
    </row>
    <row r="2518" spans="1:1">
      <c r="A2518" s="45"/>
    </row>
    <row r="2519" spans="1:1">
      <c r="A2519" s="45"/>
    </row>
    <row r="2520" spans="1:1">
      <c r="A2520" s="45"/>
    </row>
    <row r="2521" spans="1:1">
      <c r="A2521" s="45"/>
    </row>
    <row r="2522" spans="1:1">
      <c r="A2522" s="45"/>
    </row>
    <row r="2523" spans="1:1">
      <c r="A2523" s="45"/>
    </row>
    <row r="2524" spans="1:1">
      <c r="A2524" s="45"/>
    </row>
    <row r="2525" spans="1:1">
      <c r="A2525" s="45"/>
    </row>
    <row r="2526" spans="1:1">
      <c r="A2526" s="45"/>
    </row>
    <row r="2527" spans="1:1">
      <c r="A2527" s="45"/>
    </row>
    <row r="2528" spans="1:1">
      <c r="A2528" s="45"/>
    </row>
    <row r="2529" spans="1:1">
      <c r="A2529" s="45"/>
    </row>
    <row r="2530" spans="1:1">
      <c r="A2530" s="45"/>
    </row>
    <row r="2531" spans="1:1">
      <c r="A2531" s="45"/>
    </row>
    <row r="2532" spans="1:1">
      <c r="A2532" s="45"/>
    </row>
    <row r="2533" spans="1:1">
      <c r="A2533" s="45"/>
    </row>
    <row r="2534" spans="1:1">
      <c r="A2534" s="45"/>
    </row>
    <row r="2535" spans="1:1">
      <c r="A2535" s="45"/>
    </row>
    <row r="2536" spans="1:1">
      <c r="A2536" s="45"/>
    </row>
    <row r="2537" spans="1:1">
      <c r="A2537" s="45"/>
    </row>
    <row r="2538" spans="1:1">
      <c r="A2538" s="45"/>
    </row>
    <row r="2539" spans="1:1">
      <c r="A2539" s="45"/>
    </row>
    <row r="2540" spans="1:1">
      <c r="A2540" s="45"/>
    </row>
    <row r="2541" spans="1:1">
      <c r="A2541" s="45"/>
    </row>
    <row r="2542" spans="1:1">
      <c r="A2542" s="45"/>
    </row>
    <row r="2543" spans="1:1">
      <c r="A2543" s="45"/>
    </row>
    <row r="2544" spans="1:1">
      <c r="A2544" s="45"/>
    </row>
    <row r="2545" spans="1:1">
      <c r="A2545" s="45"/>
    </row>
    <row r="2546" spans="1:1">
      <c r="A2546" s="45"/>
    </row>
    <row r="2547" spans="1:1">
      <c r="A2547" s="45"/>
    </row>
    <row r="2548" spans="1:1">
      <c r="A2548" s="45"/>
    </row>
    <row r="2549" spans="1:1">
      <c r="A2549" s="45"/>
    </row>
    <row r="2550" spans="1:1">
      <c r="A2550" s="45"/>
    </row>
    <row r="2551" spans="1:1">
      <c r="A2551" s="45"/>
    </row>
    <row r="2552" spans="1:1">
      <c r="A2552" s="45"/>
    </row>
    <row r="2553" spans="1:1">
      <c r="A2553" s="45"/>
    </row>
    <row r="2554" spans="1:1">
      <c r="A2554" s="45"/>
    </row>
    <row r="2555" spans="1:1">
      <c r="A2555" s="45"/>
    </row>
    <row r="2556" spans="1:1">
      <c r="A2556" s="45"/>
    </row>
    <row r="2557" spans="1:1">
      <c r="A2557" s="45"/>
    </row>
    <row r="2558" spans="1:1">
      <c r="A2558" s="45"/>
    </row>
    <row r="2559" spans="1:1">
      <c r="A2559" s="45"/>
    </row>
    <row r="2560" spans="1:1">
      <c r="A2560" s="45"/>
    </row>
    <row r="2561" spans="1:1">
      <c r="A2561" s="45"/>
    </row>
    <row r="2562" spans="1:1">
      <c r="A2562" s="45"/>
    </row>
    <row r="2563" spans="1:1">
      <c r="A2563" s="45"/>
    </row>
    <row r="2564" spans="1:1">
      <c r="A2564" s="45"/>
    </row>
    <row r="2565" spans="1:1">
      <c r="A2565" s="45"/>
    </row>
    <row r="2566" spans="1:1">
      <c r="A2566" s="45"/>
    </row>
    <row r="2567" spans="1:1">
      <c r="A2567" s="45"/>
    </row>
    <row r="2568" spans="1:1">
      <c r="A2568" s="45"/>
    </row>
    <row r="2569" spans="1:1">
      <c r="A2569" s="45"/>
    </row>
    <row r="2570" spans="1:1">
      <c r="A2570" s="45"/>
    </row>
    <row r="2571" spans="1:1">
      <c r="A2571" s="45"/>
    </row>
    <row r="2572" spans="1:1">
      <c r="A2572" s="45"/>
    </row>
    <row r="2573" spans="1:1">
      <c r="A2573" s="45"/>
    </row>
    <row r="2574" spans="1:1">
      <c r="A2574" s="45"/>
    </row>
    <row r="2575" spans="1:1">
      <c r="A2575" s="45"/>
    </row>
    <row r="2576" spans="1:1">
      <c r="A2576" s="45"/>
    </row>
    <row r="2577" spans="1:1">
      <c r="A2577" s="45"/>
    </row>
    <row r="2578" spans="1:1">
      <c r="A2578" s="45"/>
    </row>
    <row r="2579" spans="1:1">
      <c r="A2579" s="45"/>
    </row>
    <row r="2580" spans="1:1">
      <c r="A2580" s="45"/>
    </row>
    <row r="2581" spans="1:1">
      <c r="A2581" s="45"/>
    </row>
    <row r="2582" spans="1:1">
      <c r="A2582" s="45"/>
    </row>
    <row r="2583" spans="1:1">
      <c r="A2583" s="45"/>
    </row>
    <row r="2584" spans="1:1">
      <c r="A2584" s="45"/>
    </row>
    <row r="2585" spans="1:1">
      <c r="A2585" s="45"/>
    </row>
    <row r="2586" spans="1:1">
      <c r="A2586" s="45"/>
    </row>
    <row r="2587" spans="1:1">
      <c r="A2587" s="45"/>
    </row>
    <row r="2588" spans="1:1">
      <c r="A2588" s="45"/>
    </row>
    <row r="2589" spans="1:1">
      <c r="A2589" s="45"/>
    </row>
    <row r="2590" spans="1:1">
      <c r="A2590" s="45"/>
    </row>
    <row r="2591" spans="1:1">
      <c r="A2591" s="45"/>
    </row>
    <row r="2592" spans="1:1">
      <c r="A2592" s="45"/>
    </row>
    <row r="2593" spans="1:1">
      <c r="A2593" s="45"/>
    </row>
    <row r="2594" spans="1:1">
      <c r="A2594" s="45"/>
    </row>
    <row r="2595" spans="1:1">
      <c r="A2595" s="45"/>
    </row>
    <row r="2596" spans="1:1">
      <c r="A2596" s="45"/>
    </row>
    <row r="2597" spans="1:1">
      <c r="A2597" s="45"/>
    </row>
    <row r="2598" spans="1:1">
      <c r="A2598" s="45"/>
    </row>
    <row r="2599" spans="1:1">
      <c r="A2599" s="45"/>
    </row>
    <row r="2600" spans="1:1">
      <c r="A2600" s="45"/>
    </row>
    <row r="2601" spans="1:1">
      <c r="A2601" s="45"/>
    </row>
    <row r="2602" spans="1:1">
      <c r="A2602" s="45"/>
    </row>
    <row r="2603" spans="1:1">
      <c r="A2603" s="45"/>
    </row>
    <row r="2604" spans="1:1">
      <c r="A2604" s="45"/>
    </row>
    <row r="2605" spans="1:1">
      <c r="A2605" s="45"/>
    </row>
    <row r="2606" spans="1:1">
      <c r="A2606" s="45"/>
    </row>
    <row r="2607" spans="1:1">
      <c r="A2607" s="45"/>
    </row>
    <row r="2608" spans="1:1">
      <c r="A2608" s="45"/>
    </row>
    <row r="2609" spans="1:1">
      <c r="A2609" s="45"/>
    </row>
    <row r="2610" spans="1:1">
      <c r="A2610" s="45"/>
    </row>
    <row r="2611" spans="1:1">
      <c r="A2611" s="45"/>
    </row>
    <row r="2612" spans="1:1">
      <c r="A2612" s="45"/>
    </row>
    <row r="2613" spans="1:1">
      <c r="A2613" s="45"/>
    </row>
    <row r="2614" spans="1:1">
      <c r="A2614" s="45"/>
    </row>
    <row r="2615" spans="1:1">
      <c r="A2615" s="45"/>
    </row>
    <row r="2616" spans="1:1">
      <c r="A2616" s="45"/>
    </row>
    <row r="2617" spans="1:1">
      <c r="A2617" s="45"/>
    </row>
    <row r="2618" spans="1:1">
      <c r="A2618" s="45"/>
    </row>
    <row r="2619" spans="1:1">
      <c r="A2619" s="45"/>
    </row>
    <row r="2620" spans="1:1">
      <c r="A2620" s="45"/>
    </row>
    <row r="2621" spans="1:1">
      <c r="A2621" s="45"/>
    </row>
    <row r="2622" spans="1:1">
      <c r="A2622" s="45"/>
    </row>
    <row r="2623" spans="1:1">
      <c r="A2623" s="45"/>
    </row>
    <row r="2624" spans="1:1">
      <c r="A2624" s="45"/>
    </row>
    <row r="2625" spans="1:1">
      <c r="A2625" s="45"/>
    </row>
    <row r="2626" spans="1:1">
      <c r="A2626" s="45"/>
    </row>
    <row r="2627" spans="1:1">
      <c r="A2627" s="45"/>
    </row>
    <row r="2628" spans="1:1">
      <c r="A2628" s="45"/>
    </row>
    <row r="2629" spans="1:1">
      <c r="A2629" s="45"/>
    </row>
    <row r="2630" spans="1:1">
      <c r="A2630" s="45"/>
    </row>
    <row r="2631" spans="1:1">
      <c r="A2631" s="45"/>
    </row>
    <row r="2632" spans="1:1">
      <c r="A2632" s="45"/>
    </row>
    <row r="2633" spans="1:1">
      <c r="A2633" s="45"/>
    </row>
    <row r="2634" spans="1:1">
      <c r="A2634" s="45"/>
    </row>
    <row r="2635" spans="1:1">
      <c r="A2635" s="45"/>
    </row>
    <row r="2636" spans="1:1">
      <c r="A2636" s="45"/>
    </row>
    <row r="2637" spans="1:1">
      <c r="A2637" s="45"/>
    </row>
    <row r="2638" spans="1:1">
      <c r="A2638" s="45"/>
    </row>
    <row r="2639" spans="1:1">
      <c r="A2639" s="45"/>
    </row>
    <row r="2640" spans="1:1">
      <c r="A2640" s="45"/>
    </row>
    <row r="2641" spans="1:1">
      <c r="A2641" s="45"/>
    </row>
    <row r="2642" spans="1:1">
      <c r="A2642" s="45"/>
    </row>
    <row r="2643" spans="1:1">
      <c r="A2643" s="45"/>
    </row>
    <row r="2644" spans="1:1">
      <c r="A2644" s="45"/>
    </row>
    <row r="2645" spans="1:1">
      <c r="A2645" s="45"/>
    </row>
    <row r="2646" spans="1:1">
      <c r="A2646" s="45"/>
    </row>
    <row r="2647" spans="1:1">
      <c r="A2647" s="45"/>
    </row>
    <row r="2648" spans="1:1">
      <c r="A2648" s="45"/>
    </row>
    <row r="2649" spans="1:1">
      <c r="A2649" s="45"/>
    </row>
    <row r="2650" spans="1:1">
      <c r="A2650" s="45"/>
    </row>
    <row r="2651" spans="1:1">
      <c r="A2651" s="45"/>
    </row>
    <row r="2652" spans="1:1">
      <c r="A2652" s="45"/>
    </row>
    <row r="2653" spans="1:1">
      <c r="A2653" s="45"/>
    </row>
    <row r="2654" spans="1:1">
      <c r="A2654" s="45"/>
    </row>
    <row r="2655" spans="1:1">
      <c r="A2655" s="45"/>
    </row>
    <row r="2656" spans="1:1">
      <c r="A2656" s="45"/>
    </row>
    <row r="2657" spans="1:1">
      <c r="A2657" s="45"/>
    </row>
    <row r="2658" spans="1:1">
      <c r="A2658" s="45"/>
    </row>
    <row r="2659" spans="1:1">
      <c r="A2659" s="45"/>
    </row>
    <row r="2660" spans="1:1">
      <c r="A2660" s="45"/>
    </row>
    <row r="2661" spans="1:1">
      <c r="A2661" s="45"/>
    </row>
    <row r="2662" spans="1:1">
      <c r="A2662" s="45"/>
    </row>
    <row r="2663" spans="1:1">
      <c r="A2663" s="45"/>
    </row>
    <row r="2664" spans="1:1">
      <c r="A2664" s="45"/>
    </row>
    <row r="2665" spans="1:1">
      <c r="A2665" s="45"/>
    </row>
    <row r="2666" spans="1:1">
      <c r="A2666" s="45"/>
    </row>
    <row r="2667" spans="1:1">
      <c r="A2667" s="45"/>
    </row>
    <row r="2668" spans="1:1">
      <c r="A2668" s="45"/>
    </row>
    <row r="2669" spans="1:1">
      <c r="A2669" s="45"/>
    </row>
    <row r="2670" spans="1:1">
      <c r="A2670" s="45"/>
    </row>
    <row r="2671" spans="1:1">
      <c r="A2671" s="45"/>
    </row>
    <row r="2672" spans="1:1">
      <c r="A2672" s="45"/>
    </row>
    <row r="2673" spans="1:1">
      <c r="A2673" s="45"/>
    </row>
    <row r="2674" spans="1:1">
      <c r="A2674" s="45"/>
    </row>
    <row r="2675" spans="1:1">
      <c r="A2675" s="45"/>
    </row>
    <row r="2676" spans="1:1">
      <c r="A2676" s="45"/>
    </row>
    <row r="2677" spans="1:1">
      <c r="A2677" s="45"/>
    </row>
    <row r="2678" spans="1:1">
      <c r="A2678" s="45"/>
    </row>
    <row r="2679" spans="1:1">
      <c r="A2679" s="45"/>
    </row>
    <row r="2680" spans="1:1">
      <c r="A2680" s="45"/>
    </row>
    <row r="2681" spans="1:1">
      <c r="A2681" s="45"/>
    </row>
    <row r="2682" spans="1:1">
      <c r="A2682" s="45"/>
    </row>
    <row r="2683" spans="1:1">
      <c r="A2683" s="45"/>
    </row>
    <row r="2684" spans="1:1">
      <c r="A2684" s="45"/>
    </row>
    <row r="2685" spans="1:1">
      <c r="A2685" s="45"/>
    </row>
    <row r="2686" spans="1:1">
      <c r="A2686" s="45"/>
    </row>
    <row r="2687" spans="1:1">
      <c r="A2687" s="45"/>
    </row>
    <row r="2688" spans="1:1">
      <c r="A2688" s="45"/>
    </row>
    <row r="2689" spans="1:1">
      <c r="A2689" s="45"/>
    </row>
    <row r="2690" spans="1:1">
      <c r="A2690" s="45"/>
    </row>
    <row r="2691" spans="1:1">
      <c r="A2691" s="45"/>
    </row>
    <row r="2692" spans="1:1">
      <c r="A2692" s="45"/>
    </row>
    <row r="2693" spans="1:1">
      <c r="A2693" s="45"/>
    </row>
    <row r="2694" spans="1:1">
      <c r="A2694" s="45"/>
    </row>
    <row r="2695" spans="1:1">
      <c r="A2695" s="45"/>
    </row>
    <row r="2696" spans="1:1">
      <c r="A2696" s="45"/>
    </row>
    <row r="2697" spans="1:1">
      <c r="A2697" s="45"/>
    </row>
    <row r="2698" spans="1:1">
      <c r="A2698" s="45"/>
    </row>
    <row r="2699" spans="1:1">
      <c r="A2699" s="45"/>
    </row>
    <row r="2700" spans="1:1">
      <c r="A2700" s="45"/>
    </row>
    <row r="2701" spans="1:1">
      <c r="A2701" s="45"/>
    </row>
    <row r="2702" spans="1:1">
      <c r="A2702" s="45"/>
    </row>
    <row r="2703" spans="1:1">
      <c r="A2703" s="45"/>
    </row>
    <row r="2704" spans="1:1">
      <c r="A2704" s="45"/>
    </row>
    <row r="2705" spans="1:1">
      <c r="A2705" s="45"/>
    </row>
    <row r="2706" spans="1:1">
      <c r="A2706" s="45"/>
    </row>
    <row r="2707" spans="1:1">
      <c r="A2707" s="45"/>
    </row>
    <row r="2708" spans="1:1">
      <c r="A2708" s="45"/>
    </row>
    <row r="2709" spans="1:1">
      <c r="A2709" s="45"/>
    </row>
    <row r="2710" spans="1:1">
      <c r="A2710" s="45"/>
    </row>
    <row r="2711" spans="1:1">
      <c r="A2711" s="45"/>
    </row>
    <row r="2712" spans="1:1">
      <c r="A2712" s="45"/>
    </row>
    <row r="2713" spans="1:1">
      <c r="A2713" s="45"/>
    </row>
    <row r="2714" spans="1:1">
      <c r="A2714" s="45"/>
    </row>
    <row r="2715" spans="1:1">
      <c r="A2715" s="45"/>
    </row>
    <row r="2716" spans="1:1">
      <c r="A2716" s="45"/>
    </row>
    <row r="2717" spans="1:1">
      <c r="A2717" s="45"/>
    </row>
    <row r="2718" spans="1:1">
      <c r="A2718" s="45"/>
    </row>
    <row r="2719" spans="1:1">
      <c r="A2719" s="45"/>
    </row>
    <row r="2720" spans="1:1">
      <c r="A2720" s="45"/>
    </row>
    <row r="2721" spans="1:1">
      <c r="A2721" s="45"/>
    </row>
    <row r="2722" spans="1:1">
      <c r="A2722" s="45"/>
    </row>
    <row r="2723" spans="1:1">
      <c r="A2723" s="45"/>
    </row>
    <row r="2724" spans="1:1">
      <c r="A2724" s="45"/>
    </row>
    <row r="2725" spans="1:1">
      <c r="A2725" s="45"/>
    </row>
    <row r="2726" spans="1:1">
      <c r="A2726" s="45"/>
    </row>
    <row r="2727" spans="1:1">
      <c r="A2727" s="45"/>
    </row>
    <row r="2728" spans="1:1">
      <c r="A2728" s="45"/>
    </row>
    <row r="2729" spans="1:1">
      <c r="A2729" s="45"/>
    </row>
    <row r="2730" spans="1:1">
      <c r="A2730" s="45"/>
    </row>
    <row r="2731" spans="1:1">
      <c r="A2731" s="45"/>
    </row>
    <row r="2732" spans="1:1">
      <c r="A2732" s="45"/>
    </row>
    <row r="2733" spans="1:1">
      <c r="A2733" s="45"/>
    </row>
    <row r="2734" spans="1:1">
      <c r="A2734" s="45"/>
    </row>
    <row r="2735" spans="1:1">
      <c r="A2735" s="45"/>
    </row>
    <row r="2736" spans="1:1">
      <c r="A2736" s="45"/>
    </row>
    <row r="2737" spans="1:1">
      <c r="A2737" s="45"/>
    </row>
    <row r="2738" spans="1:1">
      <c r="A2738" s="45"/>
    </row>
    <row r="2739" spans="1:1">
      <c r="A2739" s="45"/>
    </row>
    <row r="2740" spans="1:1">
      <c r="A2740" s="45"/>
    </row>
    <row r="2741" spans="1:1">
      <c r="A2741" s="45"/>
    </row>
    <row r="2742" spans="1:1">
      <c r="A2742" s="45"/>
    </row>
    <row r="2743" spans="1:1">
      <c r="A2743" s="45"/>
    </row>
    <row r="2744" spans="1:1">
      <c r="A2744" s="45"/>
    </row>
    <row r="2745" spans="1:1">
      <c r="A2745" s="45"/>
    </row>
    <row r="2746" spans="1:1">
      <c r="A2746" s="45"/>
    </row>
    <row r="2747" spans="1:1">
      <c r="A2747" s="45"/>
    </row>
    <row r="2748" spans="1:1">
      <c r="A2748" s="45"/>
    </row>
    <row r="2749" spans="1:1">
      <c r="A2749" s="45"/>
    </row>
    <row r="2750" spans="1:1">
      <c r="A2750" s="45"/>
    </row>
    <row r="2751" spans="1:1">
      <c r="A2751" s="45"/>
    </row>
    <row r="2752" spans="1:1">
      <c r="A2752" s="45"/>
    </row>
    <row r="2753" spans="1:1">
      <c r="A2753" s="45"/>
    </row>
    <row r="2754" spans="1:1">
      <c r="A2754" s="45"/>
    </row>
    <row r="2755" spans="1:1">
      <c r="A2755" s="45"/>
    </row>
    <row r="2756" spans="1:1">
      <c r="A2756" s="45"/>
    </row>
    <row r="2757" spans="1:1">
      <c r="A2757" s="45"/>
    </row>
    <row r="2758" spans="1:1">
      <c r="A2758" s="45"/>
    </row>
    <row r="2759" spans="1:1">
      <c r="A2759" s="45"/>
    </row>
    <row r="2760" spans="1:1">
      <c r="A2760" s="45"/>
    </row>
    <row r="2761" spans="1:1">
      <c r="A2761" s="45"/>
    </row>
    <row r="2762" spans="1:1">
      <c r="A2762" s="45"/>
    </row>
    <row r="2763" spans="1:1">
      <c r="A2763" s="45"/>
    </row>
    <row r="2764" spans="1:1">
      <c r="A2764" s="45"/>
    </row>
    <row r="2765" spans="1:1">
      <c r="A2765" s="45"/>
    </row>
    <row r="2766" spans="1:1">
      <c r="A2766" s="45"/>
    </row>
    <row r="2767" spans="1:1">
      <c r="A2767" s="45"/>
    </row>
    <row r="2768" spans="1:1">
      <c r="A2768" s="45"/>
    </row>
    <row r="2769" spans="1:1">
      <c r="A2769" s="45"/>
    </row>
    <row r="2770" spans="1:1">
      <c r="A2770" s="45"/>
    </row>
    <row r="2771" spans="1:1">
      <c r="A2771" s="45"/>
    </row>
    <row r="2772" spans="1:1">
      <c r="A2772" s="45"/>
    </row>
    <row r="2773" spans="1:1">
      <c r="A2773" s="45"/>
    </row>
    <row r="2774" spans="1:1">
      <c r="A2774" s="45"/>
    </row>
    <row r="2775" spans="1:1">
      <c r="A2775" s="45"/>
    </row>
    <row r="2776" spans="1:1">
      <c r="A2776" s="45"/>
    </row>
    <row r="2777" spans="1:1">
      <c r="A2777" s="45"/>
    </row>
    <row r="2778" spans="1:1">
      <c r="A2778" s="45"/>
    </row>
    <row r="2779" spans="1:1">
      <c r="A2779" s="45"/>
    </row>
    <row r="2780" spans="1:1">
      <c r="A2780" s="45"/>
    </row>
    <row r="2781" spans="1:1">
      <c r="A2781" s="45"/>
    </row>
    <row r="2782" spans="1:1">
      <c r="A2782" s="45"/>
    </row>
    <row r="2783" spans="1:1">
      <c r="A2783" s="45"/>
    </row>
    <row r="2784" spans="1:1">
      <c r="A2784" s="45"/>
    </row>
    <row r="2785" spans="1:1">
      <c r="A2785" s="45"/>
    </row>
    <row r="2786" spans="1:1">
      <c r="A2786" s="45"/>
    </row>
    <row r="2787" spans="1:1">
      <c r="A2787" s="45"/>
    </row>
    <row r="2788" spans="1:1">
      <c r="A2788" s="45"/>
    </row>
    <row r="2789" spans="1:1">
      <c r="A2789" s="45"/>
    </row>
    <row r="2790" spans="1:1">
      <c r="A2790" s="45"/>
    </row>
    <row r="2791" spans="1:1">
      <c r="A2791" s="45"/>
    </row>
    <row r="2792" spans="1:1">
      <c r="A2792" s="45"/>
    </row>
    <row r="2793" spans="1:1">
      <c r="A2793" s="45"/>
    </row>
    <row r="2794" spans="1:1">
      <c r="A2794" s="45"/>
    </row>
    <row r="2795" spans="1:1">
      <c r="A2795" s="45"/>
    </row>
    <row r="2796" spans="1:1">
      <c r="A2796" s="45"/>
    </row>
    <row r="2797" spans="1:1">
      <c r="A2797" s="45"/>
    </row>
    <row r="2798" spans="1:1">
      <c r="A2798" s="45"/>
    </row>
    <row r="2799" spans="1:1">
      <c r="A2799" s="45"/>
    </row>
    <row r="2800" spans="1:1">
      <c r="A2800" s="45"/>
    </row>
    <row r="2801" spans="1:1">
      <c r="A2801" s="45"/>
    </row>
    <row r="2802" spans="1:1">
      <c r="A2802" s="45"/>
    </row>
    <row r="2803" spans="1:1">
      <c r="A2803" s="45"/>
    </row>
    <row r="2804" spans="1:1">
      <c r="A2804" s="45"/>
    </row>
    <row r="2805" spans="1:1">
      <c r="A2805" s="45"/>
    </row>
    <row r="2806" spans="1:1">
      <c r="A2806" s="45"/>
    </row>
    <row r="2807" spans="1:1">
      <c r="A2807" s="45"/>
    </row>
    <row r="2808" spans="1:1">
      <c r="A2808" s="45"/>
    </row>
    <row r="2809" spans="1:1">
      <c r="A2809" s="45"/>
    </row>
    <row r="2810" spans="1:1">
      <c r="A2810" s="45"/>
    </row>
    <row r="2811" spans="1:1">
      <c r="A2811" s="45"/>
    </row>
    <row r="2812" spans="1:1">
      <c r="A2812" s="45"/>
    </row>
    <row r="2813" spans="1:1">
      <c r="A2813" s="45"/>
    </row>
    <row r="2814" spans="1:1">
      <c r="A2814" s="45"/>
    </row>
    <row r="2815" spans="1:1">
      <c r="A2815" s="45"/>
    </row>
    <row r="2816" spans="1:1">
      <c r="A2816" s="45"/>
    </row>
    <row r="2817" spans="1:1">
      <c r="A2817" s="45"/>
    </row>
    <row r="2818" spans="1:1">
      <c r="A2818" s="45"/>
    </row>
    <row r="2819" spans="1:1">
      <c r="A2819" s="45"/>
    </row>
    <row r="2820" spans="1:1">
      <c r="A2820" s="45"/>
    </row>
    <row r="2821" spans="1:1">
      <c r="A2821" s="45"/>
    </row>
    <row r="2822" spans="1:1">
      <c r="A2822" s="45"/>
    </row>
    <row r="2823" spans="1:1">
      <c r="A2823" s="45"/>
    </row>
    <row r="2824" spans="1:1">
      <c r="A2824" s="45"/>
    </row>
    <row r="2825" spans="1:1">
      <c r="A2825" s="45"/>
    </row>
    <row r="2826" spans="1:1">
      <c r="A2826" s="45"/>
    </row>
    <row r="2827" spans="1:1">
      <c r="A2827" s="45"/>
    </row>
    <row r="2828" spans="1:1">
      <c r="A2828" s="45"/>
    </row>
    <row r="2829" spans="1:1">
      <c r="A2829" s="45"/>
    </row>
    <row r="2830" spans="1:1">
      <c r="A2830" s="45"/>
    </row>
    <row r="2831" spans="1:1">
      <c r="A2831" s="45"/>
    </row>
    <row r="2832" spans="1:1">
      <c r="A2832" s="45"/>
    </row>
    <row r="2833" spans="1:1">
      <c r="A2833" s="45"/>
    </row>
    <row r="2834" spans="1:1">
      <c r="A2834" s="45"/>
    </row>
    <row r="2835" spans="1:1">
      <c r="A2835" s="45"/>
    </row>
    <row r="2836" spans="1:1">
      <c r="A2836" s="45"/>
    </row>
    <row r="2837" spans="1:1">
      <c r="A2837" s="45"/>
    </row>
    <row r="2838" spans="1:1">
      <c r="A2838" s="45"/>
    </row>
    <row r="2839" spans="1:1">
      <c r="A2839" s="45"/>
    </row>
    <row r="2840" spans="1:1">
      <c r="A2840" s="45"/>
    </row>
    <row r="2841" spans="1:1">
      <c r="A2841" s="45"/>
    </row>
    <row r="2842" spans="1:1">
      <c r="A2842" s="45"/>
    </row>
    <row r="2843" spans="1:1">
      <c r="A2843" s="45"/>
    </row>
    <row r="2844" spans="1:1">
      <c r="A2844" s="45"/>
    </row>
    <row r="2845" spans="1:1">
      <c r="A2845" s="45"/>
    </row>
    <row r="2846" spans="1:1">
      <c r="A2846" s="45"/>
    </row>
    <row r="2847" spans="1:1">
      <c r="A2847" s="45"/>
    </row>
    <row r="2848" spans="1:1">
      <c r="A2848" s="45"/>
    </row>
    <row r="2849" spans="1:1">
      <c r="A2849" s="45"/>
    </row>
    <row r="2850" spans="1:1">
      <c r="A2850" s="45"/>
    </row>
    <row r="2851" spans="1:1">
      <c r="A2851" s="45"/>
    </row>
    <row r="2852" spans="1:1">
      <c r="A2852" s="45"/>
    </row>
    <row r="2853" spans="1:1">
      <c r="A2853" s="45"/>
    </row>
    <row r="2854" spans="1:1">
      <c r="A2854" s="45"/>
    </row>
    <row r="2855" spans="1:1">
      <c r="A2855" s="45"/>
    </row>
    <row r="2856" spans="1:1">
      <c r="A2856" s="45"/>
    </row>
    <row r="2857" spans="1:1">
      <c r="A2857" s="45"/>
    </row>
    <row r="2858" spans="1:1">
      <c r="A2858" s="45"/>
    </row>
    <row r="2859" spans="1:1">
      <c r="A2859" s="45"/>
    </row>
    <row r="2860" spans="1:1">
      <c r="A2860" s="45"/>
    </row>
    <row r="2861" spans="1:1">
      <c r="A2861" s="45"/>
    </row>
    <row r="2862" spans="1:1">
      <c r="A2862" s="45"/>
    </row>
    <row r="2863" spans="1:1">
      <c r="A2863" s="45"/>
    </row>
    <row r="2864" spans="1:1">
      <c r="A2864" s="45"/>
    </row>
    <row r="2865" spans="1:1">
      <c r="A2865" s="45"/>
    </row>
    <row r="2866" spans="1:1">
      <c r="A2866" s="45"/>
    </row>
    <row r="2867" spans="1:1">
      <c r="A2867" s="45"/>
    </row>
    <row r="2868" spans="1:1">
      <c r="A2868" s="45"/>
    </row>
    <row r="2869" spans="1:1">
      <c r="A2869" s="45"/>
    </row>
    <row r="2870" spans="1:1">
      <c r="A2870" s="45"/>
    </row>
    <row r="2871" spans="1:1">
      <c r="A2871" s="45"/>
    </row>
    <row r="2872" spans="1:1">
      <c r="A2872" s="45"/>
    </row>
    <row r="2873" spans="1:1">
      <c r="A2873" s="45"/>
    </row>
    <row r="2874" spans="1:1">
      <c r="A2874" s="45"/>
    </row>
    <row r="2875" spans="1:1">
      <c r="A2875" s="45"/>
    </row>
    <row r="2876" spans="1:1">
      <c r="A2876" s="45"/>
    </row>
    <row r="2877" spans="1:1">
      <c r="A2877" s="45"/>
    </row>
    <row r="2878" spans="1:1">
      <c r="A2878" s="45"/>
    </row>
    <row r="2879" spans="1:1">
      <c r="A2879" s="45"/>
    </row>
    <row r="2880" spans="1:1">
      <c r="A2880" s="45"/>
    </row>
    <row r="2881" spans="1:1">
      <c r="A2881" s="45"/>
    </row>
    <row r="2882" spans="1:1">
      <c r="A2882" s="45"/>
    </row>
    <row r="2883" spans="1:1">
      <c r="A2883" s="45"/>
    </row>
    <row r="2884" spans="1:1">
      <c r="A2884" s="45"/>
    </row>
    <row r="2885" spans="1:1">
      <c r="A2885" s="45"/>
    </row>
    <row r="2886" spans="1:1">
      <c r="A2886" s="45"/>
    </row>
    <row r="2887" spans="1:1">
      <c r="A2887" s="45"/>
    </row>
    <row r="2888" spans="1:1">
      <c r="A2888" s="45"/>
    </row>
    <row r="2889" spans="1:1">
      <c r="A2889" s="45"/>
    </row>
    <row r="2890" spans="1:1">
      <c r="A2890" s="45"/>
    </row>
    <row r="2891" spans="1:1">
      <c r="A2891" s="45"/>
    </row>
    <row r="2892" spans="1:1">
      <c r="A2892" s="45"/>
    </row>
    <row r="2893" spans="1:1">
      <c r="A2893" s="45"/>
    </row>
    <row r="2894" spans="1:1">
      <c r="A2894" s="45"/>
    </row>
    <row r="2895" spans="1:1">
      <c r="A2895" s="45"/>
    </row>
    <row r="2896" spans="1:1">
      <c r="A2896" s="45"/>
    </row>
    <row r="2897" spans="1:1">
      <c r="A2897" s="45"/>
    </row>
    <row r="2898" spans="1:1">
      <c r="A2898" s="45"/>
    </row>
    <row r="2899" spans="1:1">
      <c r="A2899" s="45"/>
    </row>
    <row r="2900" spans="1:1">
      <c r="A2900" s="45"/>
    </row>
    <row r="2901" spans="1:1">
      <c r="A2901" s="45"/>
    </row>
    <row r="2902" spans="1:1">
      <c r="A2902" s="45"/>
    </row>
    <row r="2903" spans="1:1">
      <c r="A2903" s="45"/>
    </row>
    <row r="2904" spans="1:1">
      <c r="A2904" s="45"/>
    </row>
    <row r="2905" spans="1:1">
      <c r="A2905" s="45"/>
    </row>
    <row r="2906" spans="1:1">
      <c r="A2906" s="45"/>
    </row>
    <row r="2907" spans="1:1">
      <c r="A2907" s="45"/>
    </row>
    <row r="2908" spans="1:1">
      <c r="A2908" s="45"/>
    </row>
    <row r="2909" spans="1:1">
      <c r="A2909" s="45"/>
    </row>
    <row r="2910" spans="1:1">
      <c r="A2910" s="45"/>
    </row>
    <row r="2911" spans="1:1">
      <c r="A2911" s="45"/>
    </row>
    <row r="2912" spans="1:1">
      <c r="A2912" s="45"/>
    </row>
    <row r="2913" spans="1:1">
      <c r="A2913" s="45"/>
    </row>
    <row r="2914" spans="1:1">
      <c r="A2914" s="45"/>
    </row>
    <row r="2915" spans="1:1">
      <c r="A2915" s="45"/>
    </row>
    <row r="2916" spans="1:1">
      <c r="A2916" s="45"/>
    </row>
    <row r="2917" spans="1:1">
      <c r="A2917" s="45"/>
    </row>
    <row r="2918" spans="1:1">
      <c r="A2918" s="45"/>
    </row>
    <row r="2919" spans="1:1">
      <c r="A2919" s="45"/>
    </row>
    <row r="2920" spans="1:1">
      <c r="A2920" s="45"/>
    </row>
    <row r="2921" spans="1:1">
      <c r="A2921" s="45"/>
    </row>
    <row r="2922" spans="1:1">
      <c r="A2922" s="45"/>
    </row>
    <row r="2923" spans="1:1">
      <c r="A2923" s="45"/>
    </row>
    <row r="2924" spans="1:1">
      <c r="A2924" s="45"/>
    </row>
    <row r="2925" spans="1:1">
      <c r="A2925" s="45"/>
    </row>
    <row r="2926" spans="1:1">
      <c r="A2926" s="45"/>
    </row>
    <row r="2927" spans="1:1">
      <c r="A2927" s="45"/>
    </row>
    <row r="2928" spans="1:1">
      <c r="A2928" s="45"/>
    </row>
    <row r="2929" spans="1:1">
      <c r="A2929" s="45"/>
    </row>
    <row r="2930" spans="1:1">
      <c r="A2930" s="45"/>
    </row>
    <row r="2931" spans="1:1">
      <c r="A2931" s="45"/>
    </row>
    <row r="2932" spans="1:1">
      <c r="A2932" s="45"/>
    </row>
    <row r="2933" spans="1:1">
      <c r="A2933" s="45"/>
    </row>
    <row r="2934" spans="1:1">
      <c r="A2934" s="45"/>
    </row>
    <row r="2935" spans="1:1">
      <c r="A2935" s="45"/>
    </row>
    <row r="2936" spans="1:1">
      <c r="A2936" s="45"/>
    </row>
    <row r="2937" spans="1:1">
      <c r="A2937" s="45"/>
    </row>
    <row r="2938" spans="1:1">
      <c r="A2938" s="45"/>
    </row>
    <row r="2939" spans="1:1">
      <c r="A2939" s="45"/>
    </row>
    <row r="2940" spans="1:1">
      <c r="A2940" s="45"/>
    </row>
    <row r="2941" spans="1:1">
      <c r="A2941" s="45"/>
    </row>
    <row r="2942" spans="1:1">
      <c r="A2942" s="45"/>
    </row>
    <row r="2943" spans="1:1">
      <c r="A2943" s="45"/>
    </row>
    <row r="2944" spans="1:1">
      <c r="A2944" s="45"/>
    </row>
    <row r="2945" spans="1:1">
      <c r="A2945" s="45"/>
    </row>
    <row r="2946" spans="1:1">
      <c r="A2946" s="45"/>
    </row>
    <row r="2947" spans="1:1">
      <c r="A2947" s="45"/>
    </row>
    <row r="2948" spans="1:1">
      <c r="A2948" s="45"/>
    </row>
    <row r="2949" spans="1:1">
      <c r="A2949" s="45"/>
    </row>
    <row r="2950" spans="1:1">
      <c r="A2950" s="45"/>
    </row>
    <row r="2951" spans="1:1">
      <c r="A2951" s="45"/>
    </row>
    <row r="2952" spans="1:1">
      <c r="A2952" s="45"/>
    </row>
    <row r="2953" spans="1:1">
      <c r="A2953" s="45"/>
    </row>
    <row r="2954" spans="1:1">
      <c r="A2954" s="45"/>
    </row>
    <row r="2955" spans="1:1">
      <c r="A2955" s="45"/>
    </row>
    <row r="2956" spans="1:1">
      <c r="A2956" s="45"/>
    </row>
    <row r="2957" spans="1:1">
      <c r="A2957" s="45"/>
    </row>
    <row r="2958" spans="1:1">
      <c r="A2958" s="45"/>
    </row>
    <row r="2959" spans="1:1">
      <c r="A2959" s="45"/>
    </row>
    <row r="2960" spans="1:1">
      <c r="A2960" s="45"/>
    </row>
    <row r="2961" spans="1:1">
      <c r="A2961" s="45"/>
    </row>
    <row r="2962" spans="1:1">
      <c r="A2962" s="45"/>
    </row>
    <row r="2963" spans="1:1">
      <c r="A2963" s="45"/>
    </row>
    <row r="2964" spans="1:1">
      <c r="A2964" s="45"/>
    </row>
    <row r="2965" spans="1:1">
      <c r="A2965" s="45"/>
    </row>
    <row r="2966" spans="1:1">
      <c r="A2966" s="45"/>
    </row>
    <row r="2967" spans="1:1">
      <c r="A2967" s="45"/>
    </row>
    <row r="2968" spans="1:1">
      <c r="A2968" s="45"/>
    </row>
    <row r="2969" spans="1:1">
      <c r="A2969" s="45"/>
    </row>
    <row r="2970" spans="1:1">
      <c r="A2970" s="45"/>
    </row>
    <row r="2971" spans="1:1">
      <c r="A2971" s="45"/>
    </row>
    <row r="2972" spans="1:1">
      <c r="A2972" s="45"/>
    </row>
    <row r="2973" spans="1:1">
      <c r="A2973" s="45"/>
    </row>
    <row r="2974" spans="1:1">
      <c r="A2974" s="45"/>
    </row>
    <row r="2975" spans="1:1">
      <c r="A2975" s="45"/>
    </row>
    <row r="2976" spans="1:1">
      <c r="A2976" s="45"/>
    </row>
    <row r="2977" spans="1:1">
      <c r="A2977" s="45"/>
    </row>
    <row r="2978" spans="1:1">
      <c r="A2978" s="45"/>
    </row>
    <row r="2979" spans="1:1">
      <c r="A2979" s="45"/>
    </row>
    <row r="2980" spans="1:1">
      <c r="A2980" s="45"/>
    </row>
    <row r="2981" spans="1:1">
      <c r="A2981" s="45"/>
    </row>
    <row r="2982" spans="1:1">
      <c r="A2982" s="45"/>
    </row>
    <row r="2983" spans="1:1">
      <c r="A2983" s="45"/>
    </row>
    <row r="2984" spans="1:1">
      <c r="A2984" s="45"/>
    </row>
    <row r="2985" spans="1:1">
      <c r="A2985" s="45"/>
    </row>
    <row r="2986" spans="1:1">
      <c r="A2986" s="45"/>
    </row>
    <row r="2987" spans="1:1">
      <c r="A2987" s="45"/>
    </row>
    <row r="2988" spans="1:1">
      <c r="A2988" s="45"/>
    </row>
    <row r="2989" spans="1:1">
      <c r="A2989" s="45"/>
    </row>
    <row r="2990" spans="1:1">
      <c r="A2990" s="45"/>
    </row>
    <row r="2991" spans="1:1">
      <c r="A2991" s="45"/>
    </row>
    <row r="2992" spans="1:1">
      <c r="A2992" s="45"/>
    </row>
    <row r="2993" spans="1:1">
      <c r="A2993" s="45"/>
    </row>
    <row r="2994" spans="1:1">
      <c r="A2994" s="45"/>
    </row>
    <row r="2995" spans="1:1">
      <c r="A2995" s="45"/>
    </row>
    <row r="2996" spans="1:1">
      <c r="A2996" s="45"/>
    </row>
    <row r="2997" spans="1:1">
      <c r="A2997" s="45"/>
    </row>
    <row r="2998" spans="1:1">
      <c r="A2998" s="45"/>
    </row>
    <row r="2999" spans="1:1">
      <c r="A2999" s="45"/>
    </row>
    <row r="3000" spans="1:1">
      <c r="A3000" s="45"/>
    </row>
    <row r="3001" spans="1:1">
      <c r="A3001" s="45"/>
    </row>
    <row r="3002" spans="1:1">
      <c r="A3002" s="45"/>
    </row>
    <row r="3003" spans="1:1">
      <c r="A3003" s="45"/>
    </row>
    <row r="3004" spans="1:1">
      <c r="A3004" s="45"/>
    </row>
    <row r="3005" spans="1:1">
      <c r="A3005" s="45"/>
    </row>
    <row r="3006" spans="1:1">
      <c r="A3006" s="45"/>
    </row>
    <row r="3007" spans="1:1">
      <c r="A3007" s="45"/>
    </row>
    <row r="3008" spans="1:1">
      <c r="A3008" s="45"/>
    </row>
    <row r="3009" spans="1:1">
      <c r="A3009" s="45"/>
    </row>
    <row r="3010" spans="1:1">
      <c r="A3010" s="45"/>
    </row>
    <row r="3011" spans="1:1">
      <c r="A3011" s="45"/>
    </row>
    <row r="3012" spans="1:1">
      <c r="A3012" s="45"/>
    </row>
    <row r="3013" spans="1:1">
      <c r="A3013" s="45"/>
    </row>
    <row r="3014" spans="1:1">
      <c r="A3014" s="45"/>
    </row>
    <row r="3015" spans="1:1">
      <c r="A3015" s="45"/>
    </row>
    <row r="3016" spans="1:1">
      <c r="A3016" s="45"/>
    </row>
    <row r="3017" spans="1:1">
      <c r="A3017" s="45"/>
    </row>
    <row r="3018" spans="1:1">
      <c r="A3018" s="45"/>
    </row>
    <row r="3019" spans="1:1">
      <c r="A3019" s="45"/>
    </row>
    <row r="3020" spans="1:1">
      <c r="A3020" s="45"/>
    </row>
    <row r="3021" spans="1:1">
      <c r="A3021" s="45"/>
    </row>
    <row r="3022" spans="1:1">
      <c r="A3022" s="45"/>
    </row>
    <row r="3023" spans="1:1">
      <c r="A3023" s="45"/>
    </row>
    <row r="3024" spans="1:1">
      <c r="A3024" s="45"/>
    </row>
    <row r="3025" spans="1:1">
      <c r="A3025" s="45"/>
    </row>
    <row r="3026" spans="1:1">
      <c r="A3026" s="45"/>
    </row>
    <row r="3027" spans="1:1">
      <c r="A3027" s="45"/>
    </row>
    <row r="3028" spans="1:1">
      <c r="A3028" s="45"/>
    </row>
    <row r="3029" spans="1:1">
      <c r="A3029" s="45"/>
    </row>
    <row r="3030" spans="1:1">
      <c r="A3030" s="45"/>
    </row>
    <row r="3031" spans="1:1">
      <c r="A3031" s="45"/>
    </row>
    <row r="3032" spans="1:1">
      <c r="A3032" s="45"/>
    </row>
    <row r="3033" spans="1:1">
      <c r="A3033" s="45"/>
    </row>
    <row r="3034" spans="1:1">
      <c r="A3034" s="45"/>
    </row>
    <row r="3035" spans="1:1">
      <c r="A3035" s="45"/>
    </row>
    <row r="3036" spans="1:1">
      <c r="A3036" s="45"/>
    </row>
    <row r="3037" spans="1:1">
      <c r="A3037" s="45"/>
    </row>
    <row r="3038" spans="1:1">
      <c r="A3038" s="45"/>
    </row>
    <row r="3039" spans="1:1">
      <c r="A3039" s="45"/>
    </row>
    <row r="3040" spans="1:1">
      <c r="A3040" s="45"/>
    </row>
    <row r="3041" spans="1:1">
      <c r="A3041" s="45"/>
    </row>
    <row r="3042" spans="1:1">
      <c r="A3042" s="45"/>
    </row>
    <row r="3043" spans="1:1">
      <c r="A3043" s="45"/>
    </row>
    <row r="3044" spans="1:1">
      <c r="A3044" s="45"/>
    </row>
    <row r="3045" spans="1:1">
      <c r="A3045" s="45"/>
    </row>
    <row r="3046" spans="1:1">
      <c r="A3046" s="45"/>
    </row>
    <row r="3047" spans="1:1">
      <c r="A3047" s="45"/>
    </row>
    <row r="3048" spans="1:1">
      <c r="A3048" s="45"/>
    </row>
    <row r="3049" spans="1:1">
      <c r="A3049" s="45"/>
    </row>
    <row r="3050" spans="1:1">
      <c r="A3050" s="45"/>
    </row>
    <row r="3051" spans="1:1">
      <c r="A3051" s="45"/>
    </row>
    <row r="3052" spans="1:1">
      <c r="A3052" s="45"/>
    </row>
    <row r="3053" spans="1:1">
      <c r="A3053" s="45"/>
    </row>
    <row r="3054" spans="1:1">
      <c r="A3054" s="45"/>
    </row>
    <row r="3055" spans="1:1">
      <c r="A3055" s="45"/>
    </row>
    <row r="3056" spans="1:1">
      <c r="A3056" s="45"/>
    </row>
    <row r="3057" spans="1:1">
      <c r="A3057" s="45"/>
    </row>
    <row r="3058" spans="1:1">
      <c r="A3058" s="45"/>
    </row>
    <row r="3059" spans="1:1">
      <c r="A3059" s="45"/>
    </row>
    <row r="3060" spans="1:1">
      <c r="A3060" s="45"/>
    </row>
    <row r="3061" spans="1:1">
      <c r="A3061" s="45"/>
    </row>
    <row r="3062" spans="1:1">
      <c r="A3062" s="45"/>
    </row>
    <row r="3063" spans="1:1">
      <c r="A3063" s="45"/>
    </row>
    <row r="3064" spans="1:1">
      <c r="A3064" s="45"/>
    </row>
    <row r="3065" spans="1:1">
      <c r="A3065" s="45"/>
    </row>
    <row r="3066" spans="1:1">
      <c r="A3066" s="45"/>
    </row>
    <row r="3067" spans="1:1">
      <c r="A3067" s="45"/>
    </row>
    <row r="3068" spans="1:1">
      <c r="A3068" s="45"/>
    </row>
    <row r="3069" spans="1:1">
      <c r="A3069" s="45"/>
    </row>
    <row r="3070" spans="1:1">
      <c r="A3070" s="45"/>
    </row>
    <row r="3071" spans="1:1">
      <c r="A3071" s="45"/>
    </row>
    <row r="3072" spans="1:1">
      <c r="A3072" s="45"/>
    </row>
    <row r="3073" spans="1:1">
      <c r="A3073" s="45"/>
    </row>
    <row r="3074" spans="1:1">
      <c r="A3074" s="45"/>
    </row>
    <row r="3075" spans="1:1">
      <c r="A3075" s="45"/>
    </row>
    <row r="3076" spans="1:1">
      <c r="A3076" s="45"/>
    </row>
    <row r="3077" spans="1:1">
      <c r="A3077" s="45"/>
    </row>
    <row r="3078" spans="1:1">
      <c r="A3078" s="45"/>
    </row>
    <row r="3079" spans="1:1">
      <c r="A3079" s="45"/>
    </row>
    <row r="3080" spans="1:1">
      <c r="A3080" s="45"/>
    </row>
    <row r="3081" spans="1:1">
      <c r="A3081" s="45"/>
    </row>
    <row r="3082" spans="1:1">
      <c r="A3082" s="45"/>
    </row>
    <row r="3083" spans="1:1">
      <c r="A3083" s="45"/>
    </row>
    <row r="3084" spans="1:1">
      <c r="A3084" s="45"/>
    </row>
    <row r="3085" spans="1:1">
      <c r="A3085" s="45"/>
    </row>
    <row r="3086" spans="1:1">
      <c r="A3086" s="45"/>
    </row>
    <row r="3087" spans="1:1">
      <c r="A3087" s="45"/>
    </row>
    <row r="3088" spans="1:1">
      <c r="A3088" s="45"/>
    </row>
    <row r="3089" spans="1:1">
      <c r="A3089" s="45"/>
    </row>
    <row r="3090" spans="1:1">
      <c r="A3090" s="45"/>
    </row>
    <row r="3091" spans="1:1">
      <c r="A3091" s="45"/>
    </row>
    <row r="3092" spans="1:1">
      <c r="A3092" s="45"/>
    </row>
    <row r="3093" spans="1:1">
      <c r="A3093" s="45"/>
    </row>
    <row r="3094" spans="1:1">
      <c r="A3094" s="45"/>
    </row>
    <row r="3095" spans="1:1">
      <c r="A3095" s="45"/>
    </row>
    <row r="3096" spans="1:1">
      <c r="A3096" s="45"/>
    </row>
    <row r="3097" spans="1:1">
      <c r="A3097" s="45"/>
    </row>
    <row r="3098" spans="1:1">
      <c r="A3098" s="45"/>
    </row>
    <row r="3099" spans="1:1">
      <c r="A3099" s="45"/>
    </row>
    <row r="3100" spans="1:1">
      <c r="A3100" s="45"/>
    </row>
    <row r="3101" spans="1:1">
      <c r="A3101" s="45"/>
    </row>
    <row r="3102" spans="1:1">
      <c r="A3102" s="45"/>
    </row>
    <row r="3103" spans="1:1">
      <c r="A3103" s="45"/>
    </row>
    <row r="3104" spans="1:1">
      <c r="A3104" s="45"/>
    </row>
    <row r="3105" spans="1:1">
      <c r="A3105" s="45"/>
    </row>
    <row r="3106" spans="1:1">
      <c r="A3106" s="45"/>
    </row>
    <row r="3107" spans="1:1">
      <c r="A3107" s="45"/>
    </row>
    <row r="3108" spans="1:1">
      <c r="A3108" s="45"/>
    </row>
    <row r="3109" spans="1:1">
      <c r="A3109" s="45"/>
    </row>
    <row r="3110" spans="1:1">
      <c r="A3110" s="45"/>
    </row>
    <row r="3111" spans="1:1">
      <c r="A3111" s="45"/>
    </row>
    <row r="3112" spans="1:1">
      <c r="A3112" s="45"/>
    </row>
    <row r="3113" spans="1:1">
      <c r="A3113" s="45"/>
    </row>
    <row r="3114" spans="1:1">
      <c r="A3114" s="45"/>
    </row>
    <row r="3115" spans="1:1">
      <c r="A3115" s="45"/>
    </row>
    <row r="3116" spans="1:1">
      <c r="A3116" s="45"/>
    </row>
    <row r="3117" spans="1:1">
      <c r="A3117" s="45"/>
    </row>
    <row r="3118" spans="1:1">
      <c r="A3118" s="45"/>
    </row>
    <row r="3119" spans="1:1">
      <c r="A3119" s="45"/>
    </row>
    <row r="3120" spans="1:1">
      <c r="A3120" s="45"/>
    </row>
    <row r="3121" spans="1:1">
      <c r="A3121" s="45"/>
    </row>
    <row r="3122" spans="1:1">
      <c r="A3122" s="45"/>
    </row>
    <row r="3123" spans="1:1">
      <c r="A3123" s="45"/>
    </row>
    <row r="3124" spans="1:1">
      <c r="A3124" s="45"/>
    </row>
    <row r="3125" spans="1:1">
      <c r="A3125" s="45"/>
    </row>
    <row r="3126" spans="1:1">
      <c r="A3126" s="45"/>
    </row>
    <row r="3127" spans="1:1">
      <c r="A3127" s="45"/>
    </row>
    <row r="3128" spans="1:1">
      <c r="A3128" s="45"/>
    </row>
    <row r="3129" spans="1:1">
      <c r="A3129" s="45"/>
    </row>
    <row r="3130" spans="1:1">
      <c r="A3130" s="45"/>
    </row>
    <row r="3131" spans="1:1">
      <c r="A3131" s="45"/>
    </row>
    <row r="3132" spans="1:1">
      <c r="A3132" s="45"/>
    </row>
    <row r="3133" spans="1:1">
      <c r="A3133" s="45"/>
    </row>
    <row r="3134" spans="1:1">
      <c r="A3134" s="45"/>
    </row>
    <row r="3135" spans="1:1">
      <c r="A3135" s="45"/>
    </row>
    <row r="3136" spans="1:1">
      <c r="A3136" s="45"/>
    </row>
    <row r="3137" spans="1:1">
      <c r="A3137" s="45"/>
    </row>
    <row r="3138" spans="1:1">
      <c r="A3138" s="45"/>
    </row>
    <row r="3139" spans="1:1">
      <c r="A3139" s="45"/>
    </row>
    <row r="3140" spans="1:1">
      <c r="A3140" s="45"/>
    </row>
    <row r="3141" spans="1:1">
      <c r="A3141" s="45"/>
    </row>
    <row r="3142" spans="1:1">
      <c r="A3142" s="45"/>
    </row>
    <row r="3143" spans="1:1">
      <c r="A3143" s="45"/>
    </row>
    <row r="3144" spans="1:1">
      <c r="A3144" s="45"/>
    </row>
    <row r="3145" spans="1:1">
      <c r="A3145" s="45"/>
    </row>
    <row r="3146" spans="1:1">
      <c r="A3146" s="45"/>
    </row>
    <row r="3147" spans="1:1">
      <c r="A3147" s="45"/>
    </row>
    <row r="3148" spans="1:1">
      <c r="A3148" s="45"/>
    </row>
    <row r="3149" spans="1:1">
      <c r="A3149" s="45"/>
    </row>
    <row r="3150" spans="1:1">
      <c r="A3150" s="45"/>
    </row>
    <row r="3151" spans="1:1">
      <c r="A3151" s="45"/>
    </row>
    <row r="3152" spans="1:1">
      <c r="A3152" s="45"/>
    </row>
    <row r="3153" spans="1:1">
      <c r="A3153" s="45"/>
    </row>
    <row r="3154" spans="1:1">
      <c r="A3154" s="45"/>
    </row>
    <row r="3155" spans="1:1">
      <c r="A3155" s="45"/>
    </row>
    <row r="3156" spans="1:1">
      <c r="A3156" s="45"/>
    </row>
    <row r="3157" spans="1:1">
      <c r="A3157" s="45"/>
    </row>
    <row r="3158" spans="1:1">
      <c r="A3158" s="45"/>
    </row>
    <row r="3159" spans="1:1">
      <c r="A3159" s="45"/>
    </row>
    <row r="3160" spans="1:1">
      <c r="A3160" s="45"/>
    </row>
    <row r="3161" spans="1:1">
      <c r="A3161" s="45"/>
    </row>
    <row r="3162" spans="1:1">
      <c r="A3162" s="45"/>
    </row>
    <row r="3163" spans="1:1">
      <c r="A3163" s="45"/>
    </row>
    <row r="3164" spans="1:1">
      <c r="A3164" s="45"/>
    </row>
    <row r="3165" spans="1:1">
      <c r="A3165" s="45"/>
    </row>
    <row r="3166" spans="1:1">
      <c r="A3166" s="45"/>
    </row>
    <row r="3167" spans="1:1">
      <c r="A3167" s="45"/>
    </row>
    <row r="3168" spans="1:1">
      <c r="A3168" s="45"/>
    </row>
    <row r="3169" spans="1:1">
      <c r="A3169" s="45"/>
    </row>
    <row r="3170" spans="1:1">
      <c r="A3170" s="45"/>
    </row>
    <row r="3171" spans="1:1">
      <c r="A3171" s="45"/>
    </row>
    <row r="3172" spans="1:1">
      <c r="A3172" s="45"/>
    </row>
    <row r="3173" spans="1:1">
      <c r="A3173" s="45"/>
    </row>
    <row r="3174" spans="1:1">
      <c r="A3174" s="45"/>
    </row>
    <row r="3175" spans="1:1">
      <c r="A3175" s="45"/>
    </row>
    <row r="3176" spans="1:1">
      <c r="A3176" s="45"/>
    </row>
    <row r="3177" spans="1:1">
      <c r="A3177" s="45"/>
    </row>
    <row r="3178" spans="1:1">
      <c r="A3178" s="45"/>
    </row>
    <row r="3179" spans="1:1">
      <c r="A3179" s="45"/>
    </row>
    <row r="3180" spans="1:1">
      <c r="A3180" s="45"/>
    </row>
    <row r="3181" spans="1:1">
      <c r="A3181" s="45"/>
    </row>
    <row r="3182" spans="1:1">
      <c r="A3182" s="45"/>
    </row>
    <row r="3183" spans="1:1">
      <c r="A3183" s="45"/>
    </row>
    <row r="3184" spans="1:1">
      <c r="A3184" s="45"/>
    </row>
    <row r="3185" spans="1:1">
      <c r="A3185" s="45"/>
    </row>
    <row r="3186" spans="1:1">
      <c r="A3186" s="45"/>
    </row>
    <row r="3187" spans="1:1">
      <c r="A3187" s="45"/>
    </row>
    <row r="3188" spans="1:1">
      <c r="A3188" s="45"/>
    </row>
    <row r="3189" spans="1:1">
      <c r="A3189" s="45"/>
    </row>
    <row r="3190" spans="1:1">
      <c r="A3190" s="45"/>
    </row>
    <row r="3191" spans="1:1">
      <c r="A3191" s="45"/>
    </row>
    <row r="3192" spans="1:1">
      <c r="A3192" s="45"/>
    </row>
    <row r="3193" spans="1:1">
      <c r="A3193" s="45"/>
    </row>
    <row r="3194" spans="1:1">
      <c r="A3194" s="45"/>
    </row>
    <row r="3195" spans="1:1">
      <c r="A3195" s="45"/>
    </row>
    <row r="3196" spans="1:1">
      <c r="A3196" s="45"/>
    </row>
    <row r="3197" spans="1:1">
      <c r="A3197" s="45"/>
    </row>
    <row r="3198" spans="1:1">
      <c r="A3198" s="45"/>
    </row>
    <row r="3199" spans="1:1">
      <c r="A3199" s="45"/>
    </row>
    <row r="3200" spans="1:1">
      <c r="A3200" s="45"/>
    </row>
    <row r="3201" spans="1:1">
      <c r="A3201" s="45"/>
    </row>
    <row r="3202" spans="1:1">
      <c r="A3202" s="45"/>
    </row>
    <row r="3203" spans="1:1">
      <c r="A3203" s="45"/>
    </row>
    <row r="3204" spans="1:1">
      <c r="A3204" s="45"/>
    </row>
    <row r="3205" spans="1:1">
      <c r="A3205" s="45"/>
    </row>
    <row r="3206" spans="1:1">
      <c r="A3206" s="45"/>
    </row>
    <row r="3207" spans="1:1">
      <c r="A3207" s="45"/>
    </row>
    <row r="3208" spans="1:1">
      <c r="A3208" s="45"/>
    </row>
    <row r="3209" spans="1:1">
      <c r="A3209" s="45"/>
    </row>
    <row r="3210" spans="1:1">
      <c r="A3210" s="45"/>
    </row>
    <row r="3211" spans="1:1">
      <c r="A3211" s="45"/>
    </row>
    <row r="3212" spans="1:1">
      <c r="A3212" s="45"/>
    </row>
    <row r="3213" spans="1:1">
      <c r="A3213" s="45"/>
    </row>
    <row r="3214" spans="1:1">
      <c r="A3214" s="45"/>
    </row>
    <row r="3215" spans="1:1">
      <c r="A3215" s="45"/>
    </row>
    <row r="3216" spans="1:1">
      <c r="A3216" s="45"/>
    </row>
    <row r="3217" spans="1:1">
      <c r="A3217" s="45"/>
    </row>
    <row r="3218" spans="1:1">
      <c r="A3218" s="45"/>
    </row>
    <row r="3219" spans="1:1">
      <c r="A3219" s="45"/>
    </row>
    <row r="3220" spans="1:1">
      <c r="A3220" s="45"/>
    </row>
    <row r="3221" spans="1:1">
      <c r="A3221" s="45"/>
    </row>
    <row r="3222" spans="1:1">
      <c r="A3222" s="45"/>
    </row>
    <row r="3223" spans="1:1">
      <c r="A3223" s="45"/>
    </row>
    <row r="3224" spans="1:1">
      <c r="A3224" s="45"/>
    </row>
    <row r="3225" spans="1:1">
      <c r="A3225" s="45"/>
    </row>
    <row r="3226" spans="1:1">
      <c r="A3226" s="45"/>
    </row>
    <row r="3227" spans="1:1">
      <c r="A3227" s="45"/>
    </row>
    <row r="3228" spans="1:1">
      <c r="A3228" s="45"/>
    </row>
    <row r="3229" spans="1:1">
      <c r="A3229" s="45"/>
    </row>
    <row r="3230" spans="1:1">
      <c r="A3230" s="45"/>
    </row>
    <row r="3231" spans="1:1">
      <c r="A3231" s="45"/>
    </row>
    <row r="3232" spans="1:1">
      <c r="A3232" s="45"/>
    </row>
    <row r="3233" spans="1:1">
      <c r="A3233" s="45"/>
    </row>
    <row r="3234" spans="1:1">
      <c r="A3234" s="45"/>
    </row>
    <row r="3235" spans="1:1">
      <c r="A3235" s="45"/>
    </row>
    <row r="3236" spans="1:1">
      <c r="A3236" s="45"/>
    </row>
    <row r="3237" spans="1:1">
      <c r="A3237" s="45"/>
    </row>
    <row r="3238" spans="1:1">
      <c r="A3238" s="45"/>
    </row>
    <row r="3239" spans="1:1">
      <c r="A3239" s="45"/>
    </row>
    <row r="3240" spans="1:1">
      <c r="A3240" s="45"/>
    </row>
    <row r="3241" spans="1:1">
      <c r="A3241" s="45"/>
    </row>
    <row r="3242" spans="1:1">
      <c r="A3242" s="45"/>
    </row>
    <row r="3243" spans="1:1">
      <c r="A3243" s="45"/>
    </row>
    <row r="3244" spans="1:1">
      <c r="A3244" s="45"/>
    </row>
    <row r="3245" spans="1:1">
      <c r="A3245" s="45"/>
    </row>
    <row r="3246" spans="1:1">
      <c r="A3246" s="45"/>
    </row>
    <row r="3247" spans="1:1">
      <c r="A3247" s="45"/>
    </row>
    <row r="3248" spans="1:1">
      <c r="A3248" s="45"/>
    </row>
    <row r="3249" spans="1:1">
      <c r="A3249" s="45"/>
    </row>
    <row r="3250" spans="1:1">
      <c r="A3250" s="45"/>
    </row>
    <row r="3251" spans="1:1">
      <c r="A3251" s="45"/>
    </row>
    <row r="3252" spans="1:1">
      <c r="A3252" s="45"/>
    </row>
    <row r="3253" spans="1:1">
      <c r="A3253" s="45"/>
    </row>
    <row r="3254" spans="1:1">
      <c r="A3254" s="45"/>
    </row>
    <row r="3255" spans="1:1">
      <c r="A3255" s="45"/>
    </row>
    <row r="3256" spans="1:1">
      <c r="A3256" s="45"/>
    </row>
    <row r="3257" spans="1:1">
      <c r="A3257" s="45"/>
    </row>
    <row r="3258" spans="1:1">
      <c r="A3258" s="45"/>
    </row>
    <row r="3259" spans="1:1">
      <c r="A3259" s="45"/>
    </row>
    <row r="3260" spans="1:1">
      <c r="A3260" s="45"/>
    </row>
    <row r="3261" spans="1:1">
      <c r="A3261" s="45"/>
    </row>
    <row r="3262" spans="1:1">
      <c r="A3262" s="45"/>
    </row>
    <row r="3263" spans="1:1">
      <c r="A3263" s="45"/>
    </row>
    <row r="3264" spans="1:1">
      <c r="A3264" s="45"/>
    </row>
    <row r="3265" spans="1:1">
      <c r="A3265" s="45"/>
    </row>
    <row r="3266" spans="1:1">
      <c r="A3266" s="45"/>
    </row>
    <row r="3267" spans="1:1">
      <c r="A3267" s="45"/>
    </row>
    <row r="3268" spans="1:1">
      <c r="A3268" s="45"/>
    </row>
    <row r="3269" spans="1:1">
      <c r="A3269" s="45"/>
    </row>
    <row r="3270" spans="1:1">
      <c r="A3270" s="45"/>
    </row>
    <row r="3271" spans="1:1">
      <c r="A3271" s="45"/>
    </row>
    <row r="3272" spans="1:1">
      <c r="A3272" s="45"/>
    </row>
    <row r="3273" spans="1:1">
      <c r="A3273" s="45"/>
    </row>
    <row r="3274" spans="1:1">
      <c r="A3274" s="45"/>
    </row>
    <row r="3275" spans="1:1">
      <c r="A3275" s="45"/>
    </row>
    <row r="3276" spans="1:1">
      <c r="A3276" s="45"/>
    </row>
    <row r="3277" spans="1:1">
      <c r="A3277" s="45"/>
    </row>
    <row r="3278" spans="1:1">
      <c r="A3278" s="45"/>
    </row>
    <row r="3279" spans="1:1">
      <c r="A3279" s="45"/>
    </row>
    <row r="3280" spans="1:1">
      <c r="A3280" s="45"/>
    </row>
    <row r="3281" spans="1:1">
      <c r="A3281" s="45"/>
    </row>
    <row r="3282" spans="1:1">
      <c r="A3282" s="45"/>
    </row>
    <row r="3283" spans="1:1">
      <c r="A3283" s="45"/>
    </row>
    <row r="3284" spans="1:1">
      <c r="A3284" s="45"/>
    </row>
    <row r="3285" spans="1:1">
      <c r="A3285" s="45"/>
    </row>
    <row r="3286" spans="1:1">
      <c r="A3286" s="45"/>
    </row>
    <row r="3287" spans="1:1">
      <c r="A3287" s="45"/>
    </row>
    <row r="3288" spans="1:1">
      <c r="A3288" s="45"/>
    </row>
    <row r="3289" spans="1:1">
      <c r="A3289" s="45"/>
    </row>
    <row r="3290" spans="1:1">
      <c r="A3290" s="45"/>
    </row>
    <row r="3291" spans="1:1">
      <c r="A3291" s="45"/>
    </row>
    <row r="3292" spans="1:1">
      <c r="A3292" s="45"/>
    </row>
    <row r="3293" spans="1:1">
      <c r="A3293" s="45"/>
    </row>
    <row r="3294" spans="1:1">
      <c r="A3294" s="45"/>
    </row>
    <row r="3295" spans="1:1">
      <c r="A3295" s="45"/>
    </row>
    <row r="3296" spans="1:1">
      <c r="A3296" s="45"/>
    </row>
    <row r="3297" spans="1:1">
      <c r="A3297" s="45"/>
    </row>
    <row r="3298" spans="1:1">
      <c r="A3298" s="45"/>
    </row>
    <row r="3299" spans="1:1">
      <c r="A3299" s="45"/>
    </row>
    <row r="3300" spans="1:1">
      <c r="A3300" s="45"/>
    </row>
    <row r="3301" spans="1:1">
      <c r="A3301" s="45"/>
    </row>
    <row r="3302" spans="1:1">
      <c r="A3302" s="45"/>
    </row>
    <row r="3303" spans="1:1">
      <c r="A3303" s="45"/>
    </row>
    <row r="3304" spans="1:1">
      <c r="A3304" s="45"/>
    </row>
    <row r="3305" spans="1:1">
      <c r="A3305" s="45"/>
    </row>
    <row r="3306" spans="1:1">
      <c r="A3306" s="45"/>
    </row>
    <row r="3307" spans="1:1">
      <c r="A3307" s="45"/>
    </row>
    <row r="3308" spans="1:1">
      <c r="A3308" s="45"/>
    </row>
    <row r="3309" spans="1:1">
      <c r="A3309" s="45"/>
    </row>
    <row r="3310" spans="1:1">
      <c r="A3310" s="45"/>
    </row>
    <row r="3311" spans="1:1">
      <c r="A3311" s="45"/>
    </row>
    <row r="3312" spans="1:1">
      <c r="A3312" s="45"/>
    </row>
    <row r="3313" spans="1:1">
      <c r="A3313" s="45"/>
    </row>
    <row r="3314" spans="1:1">
      <c r="A3314" s="45"/>
    </row>
    <row r="3315" spans="1:1">
      <c r="A3315" s="45"/>
    </row>
    <row r="3316" spans="1:1">
      <c r="A3316" s="45"/>
    </row>
    <row r="3317" spans="1:1">
      <c r="A3317" s="45"/>
    </row>
    <row r="3318" spans="1:1">
      <c r="A3318" s="45"/>
    </row>
    <row r="3319" spans="1:1">
      <c r="A3319" s="45"/>
    </row>
    <row r="3320" spans="1:1">
      <c r="A3320" s="45"/>
    </row>
    <row r="3321" spans="1:1">
      <c r="A3321" s="45"/>
    </row>
    <row r="3322" spans="1:1">
      <c r="A3322" s="45"/>
    </row>
    <row r="3323" spans="1:1">
      <c r="A3323" s="45"/>
    </row>
    <row r="3324" spans="1:1">
      <c r="A3324" s="45"/>
    </row>
    <row r="3325" spans="1:1">
      <c r="A3325" s="45"/>
    </row>
    <row r="3326" spans="1:1">
      <c r="A3326" s="45"/>
    </row>
    <row r="3327" spans="1:1">
      <c r="A3327" s="45"/>
    </row>
    <row r="3328" spans="1:1">
      <c r="A3328" s="45"/>
    </row>
    <row r="3329" spans="1:1">
      <c r="A3329" s="45"/>
    </row>
    <row r="3330" spans="1:1">
      <c r="A3330" s="45"/>
    </row>
    <row r="3331" spans="1:1">
      <c r="A3331" s="45"/>
    </row>
    <row r="3332" spans="1:1">
      <c r="A3332" s="45"/>
    </row>
    <row r="3333" spans="1:1">
      <c r="A3333" s="45"/>
    </row>
    <row r="3334" spans="1:1">
      <c r="A3334" s="45"/>
    </row>
    <row r="3335" spans="1:1">
      <c r="A3335" s="45"/>
    </row>
    <row r="3336" spans="1:1">
      <c r="A3336" s="45"/>
    </row>
    <row r="3337" spans="1:1">
      <c r="A3337" s="45"/>
    </row>
    <row r="3338" spans="1:1">
      <c r="A3338" s="45"/>
    </row>
    <row r="3339" spans="1:1">
      <c r="A3339" s="45"/>
    </row>
    <row r="3340" spans="1:1">
      <c r="A3340" s="45"/>
    </row>
    <row r="3341" spans="1:1">
      <c r="A3341" s="45"/>
    </row>
    <row r="3342" spans="1:1">
      <c r="A3342" s="45"/>
    </row>
    <row r="3343" spans="1:1">
      <c r="A3343" s="45"/>
    </row>
    <row r="3344" spans="1:1">
      <c r="A3344" s="45"/>
    </row>
    <row r="3345" spans="1:1">
      <c r="A3345" s="45"/>
    </row>
    <row r="3346" spans="1:1">
      <c r="A3346" s="45"/>
    </row>
    <row r="3347" spans="1:1">
      <c r="A3347" s="45"/>
    </row>
    <row r="3348" spans="1:1">
      <c r="A3348" s="45"/>
    </row>
    <row r="3349" spans="1:1">
      <c r="A3349" s="45"/>
    </row>
    <row r="3350" spans="1:1">
      <c r="A3350" s="45"/>
    </row>
    <row r="3351" spans="1:1">
      <c r="A3351" s="45"/>
    </row>
    <row r="3352" spans="1:1">
      <c r="A3352" s="45"/>
    </row>
    <row r="3353" spans="1:1">
      <c r="A3353" s="45"/>
    </row>
    <row r="3354" spans="1:1">
      <c r="A3354" s="45"/>
    </row>
    <row r="3355" spans="1:1">
      <c r="A3355" s="45"/>
    </row>
    <row r="3356" spans="1:1">
      <c r="A3356" s="45"/>
    </row>
    <row r="3357" spans="1:1">
      <c r="A3357" s="45"/>
    </row>
    <row r="3358" spans="1:1">
      <c r="A3358" s="45"/>
    </row>
    <row r="3359" spans="1:1">
      <c r="A3359" s="45"/>
    </row>
    <row r="3360" spans="1:1">
      <c r="A3360" s="45"/>
    </row>
    <row r="3361" spans="1:1">
      <c r="A3361" s="45"/>
    </row>
    <row r="3362" spans="1:1">
      <c r="A3362" s="45"/>
    </row>
    <row r="3363" spans="1:1">
      <c r="A3363" s="45"/>
    </row>
    <row r="3364" spans="1:1">
      <c r="A3364" s="45"/>
    </row>
    <row r="3365" spans="1:1">
      <c r="A3365" s="45"/>
    </row>
    <row r="3366" spans="1:1">
      <c r="A3366" s="45"/>
    </row>
    <row r="3367" spans="1:1">
      <c r="A3367" s="45"/>
    </row>
    <row r="3368" spans="1:1">
      <c r="A3368" s="45"/>
    </row>
    <row r="3369" spans="1:1">
      <c r="A3369" s="45"/>
    </row>
    <row r="3370" spans="1:1">
      <c r="A3370" s="45"/>
    </row>
    <row r="3371" spans="1:1">
      <c r="A3371" s="45"/>
    </row>
    <row r="3372" spans="1:1">
      <c r="A3372" s="45"/>
    </row>
    <row r="3373" spans="1:1">
      <c r="A3373" s="45"/>
    </row>
    <row r="3374" spans="1:1">
      <c r="A3374" s="45"/>
    </row>
    <row r="3375" spans="1:1">
      <c r="A3375" s="45"/>
    </row>
    <row r="3376" spans="1:1">
      <c r="A3376" s="45"/>
    </row>
    <row r="3377" spans="1:1">
      <c r="A3377" s="45"/>
    </row>
    <row r="3378" spans="1:1">
      <c r="A3378" s="45"/>
    </row>
    <row r="3379" spans="1:1">
      <c r="A3379" s="45"/>
    </row>
    <row r="3380" spans="1:1">
      <c r="A3380" s="45"/>
    </row>
    <row r="3381" spans="1:1">
      <c r="A3381" s="45"/>
    </row>
    <row r="3382" spans="1:1">
      <c r="A3382" s="45"/>
    </row>
    <row r="3383" spans="1:1">
      <c r="A3383" s="45"/>
    </row>
    <row r="3384" spans="1:1">
      <c r="A3384" s="45"/>
    </row>
    <row r="3385" spans="1:1">
      <c r="A3385" s="45"/>
    </row>
    <row r="3386" spans="1:1">
      <c r="A3386" s="45"/>
    </row>
    <row r="3387" spans="1:1">
      <c r="A3387" s="45"/>
    </row>
    <row r="3388" spans="1:1">
      <c r="A3388" s="45"/>
    </row>
    <row r="3389" spans="1:1">
      <c r="A3389" s="45"/>
    </row>
    <row r="3390" spans="1:1">
      <c r="A3390" s="45"/>
    </row>
    <row r="3391" spans="1:1">
      <c r="A3391" s="45"/>
    </row>
    <row r="3392" spans="1:1">
      <c r="A3392" s="45"/>
    </row>
    <row r="3393" spans="1:1">
      <c r="A3393" s="45"/>
    </row>
    <row r="3394" spans="1:1">
      <c r="A3394" s="45"/>
    </row>
    <row r="3395" spans="1:1">
      <c r="A3395" s="45"/>
    </row>
    <row r="3396" spans="1:1">
      <c r="A3396" s="45"/>
    </row>
    <row r="3397" spans="1:1">
      <c r="A3397" s="45"/>
    </row>
    <row r="3398" spans="1:1">
      <c r="A3398" s="45"/>
    </row>
    <row r="3399" spans="1:1">
      <c r="A3399" s="45"/>
    </row>
    <row r="3400" spans="1:1">
      <c r="A3400" s="45"/>
    </row>
    <row r="3401" spans="1:1">
      <c r="A3401" s="45"/>
    </row>
    <row r="3402" spans="1:1">
      <c r="A3402" s="45"/>
    </row>
    <row r="3403" spans="1:1">
      <c r="A3403" s="45"/>
    </row>
    <row r="3404" spans="1:1">
      <c r="A3404" s="45"/>
    </row>
    <row r="3405" spans="1:1">
      <c r="A3405" s="45"/>
    </row>
    <row r="3406" spans="1:1">
      <c r="A3406" s="45"/>
    </row>
    <row r="3407" spans="1:1">
      <c r="A3407" s="45"/>
    </row>
    <row r="3408" spans="1:1">
      <c r="A3408" s="45"/>
    </row>
    <row r="3409" spans="1:1">
      <c r="A3409" s="45"/>
    </row>
    <row r="3410" spans="1:1">
      <c r="A3410" s="45"/>
    </row>
    <row r="3411" spans="1:1">
      <c r="A3411" s="45"/>
    </row>
    <row r="3412" spans="1:1">
      <c r="A3412" s="45"/>
    </row>
    <row r="3413" spans="1:1">
      <c r="A3413" s="45"/>
    </row>
    <row r="3414" spans="1:1">
      <c r="A3414" s="45"/>
    </row>
    <row r="3415" spans="1:1">
      <c r="A3415" s="45"/>
    </row>
    <row r="3416" spans="1:1">
      <c r="A3416" s="45"/>
    </row>
    <row r="3417" spans="1:1">
      <c r="A3417" s="45"/>
    </row>
    <row r="3418" spans="1:1">
      <c r="A3418" s="45"/>
    </row>
    <row r="3419" spans="1:1">
      <c r="A3419" s="45"/>
    </row>
    <row r="3420" spans="1:1">
      <c r="A3420" s="45"/>
    </row>
    <row r="3421" spans="1:1">
      <c r="A3421" s="45"/>
    </row>
    <row r="3422" spans="1:1">
      <c r="A3422" s="45"/>
    </row>
    <row r="3423" spans="1:1">
      <c r="A3423" s="45"/>
    </row>
    <row r="3424" spans="1:1">
      <c r="A3424" s="45"/>
    </row>
    <row r="3425" spans="1:1">
      <c r="A3425" s="45"/>
    </row>
    <row r="3426" spans="1:1">
      <c r="A3426" s="45"/>
    </row>
    <row r="3427" spans="1:1">
      <c r="A3427" s="45"/>
    </row>
    <row r="3428" spans="1:1">
      <c r="A3428" s="45"/>
    </row>
    <row r="3429" spans="1:1">
      <c r="A3429" s="45"/>
    </row>
    <row r="3430" spans="1:1">
      <c r="A3430" s="45"/>
    </row>
    <row r="3431" spans="1:1">
      <c r="A3431" s="45"/>
    </row>
    <row r="3432" spans="1:1">
      <c r="A3432" s="45"/>
    </row>
    <row r="3433" spans="1:1">
      <c r="A3433" s="45"/>
    </row>
    <row r="3434" spans="1:1">
      <c r="A3434" s="45"/>
    </row>
    <row r="3435" spans="1:1">
      <c r="A3435" s="45"/>
    </row>
    <row r="3436" spans="1:1">
      <c r="A3436" s="45"/>
    </row>
    <row r="3437" spans="1:1">
      <c r="A3437" s="45"/>
    </row>
    <row r="3438" spans="1:1">
      <c r="A3438" s="45"/>
    </row>
    <row r="3439" spans="1:1">
      <c r="A3439" s="45"/>
    </row>
    <row r="3440" spans="1:1">
      <c r="A3440" s="45"/>
    </row>
    <row r="3441" spans="1:1">
      <c r="A3441" s="45"/>
    </row>
    <row r="3442" spans="1:1">
      <c r="A3442" s="45"/>
    </row>
    <row r="3443" spans="1:1">
      <c r="A3443" s="45"/>
    </row>
    <row r="3444" spans="1:1">
      <c r="A3444" s="45"/>
    </row>
    <row r="3445" spans="1:1">
      <c r="A3445" s="45"/>
    </row>
    <row r="3446" spans="1:1">
      <c r="A3446" s="45"/>
    </row>
    <row r="3447" spans="1:1">
      <c r="A3447" s="45"/>
    </row>
    <row r="3448" spans="1:1">
      <c r="A3448" s="45"/>
    </row>
    <row r="3449" spans="1:1">
      <c r="A3449" s="45"/>
    </row>
    <row r="3450" spans="1:1">
      <c r="A3450" s="45"/>
    </row>
    <row r="3451" spans="1:1">
      <c r="A3451" s="45"/>
    </row>
    <row r="3452" spans="1:1">
      <c r="A3452" s="45"/>
    </row>
    <row r="3453" spans="1:1">
      <c r="A3453" s="45"/>
    </row>
    <row r="3454" spans="1:1">
      <c r="A3454" s="45"/>
    </row>
    <row r="3455" spans="1:1">
      <c r="A3455" s="45"/>
    </row>
    <row r="3456" spans="1:1">
      <c r="A3456" s="45"/>
    </row>
    <row r="3457" spans="1:1">
      <c r="A3457" s="45"/>
    </row>
    <row r="3458" spans="1:1">
      <c r="A3458" s="45"/>
    </row>
    <row r="3459" spans="1:1">
      <c r="A3459" s="45"/>
    </row>
    <row r="3460" spans="1:1">
      <c r="A3460" s="45"/>
    </row>
    <row r="3461" spans="1:1">
      <c r="A3461" s="45"/>
    </row>
    <row r="3462" spans="1:1">
      <c r="A3462" s="45"/>
    </row>
    <row r="3463" spans="1:1">
      <c r="A3463" s="45"/>
    </row>
    <row r="3464" spans="1:1">
      <c r="A3464" s="45"/>
    </row>
    <row r="3465" spans="1:1">
      <c r="A3465" s="45"/>
    </row>
    <row r="3466" spans="1:1">
      <c r="A3466" s="45"/>
    </row>
    <row r="3467" spans="1:1">
      <c r="A3467" s="45"/>
    </row>
    <row r="3468" spans="1:1">
      <c r="A3468" s="45"/>
    </row>
    <row r="3469" spans="1:1">
      <c r="A3469" s="45"/>
    </row>
    <row r="3470" spans="1:1">
      <c r="A3470" s="45"/>
    </row>
    <row r="3471" spans="1:1">
      <c r="A3471" s="45"/>
    </row>
    <row r="3472" spans="1:1">
      <c r="A3472" s="45"/>
    </row>
    <row r="3473" spans="1:1">
      <c r="A3473" s="45"/>
    </row>
    <row r="3474" spans="1:1">
      <c r="A3474" s="45"/>
    </row>
    <row r="3475" spans="1:1">
      <c r="A3475" s="45"/>
    </row>
    <row r="3476" spans="1:1">
      <c r="A3476" s="45"/>
    </row>
    <row r="3477" spans="1:1">
      <c r="A3477" s="45"/>
    </row>
    <row r="3478" spans="1:1">
      <c r="A3478" s="45"/>
    </row>
    <row r="3479" spans="1:1">
      <c r="A3479" s="45"/>
    </row>
    <row r="3480" spans="1:1">
      <c r="A3480" s="45"/>
    </row>
    <row r="3481" spans="1:1">
      <c r="A3481" s="45"/>
    </row>
    <row r="3482" spans="1:1">
      <c r="A3482" s="45"/>
    </row>
    <row r="3483" spans="1:1">
      <c r="A3483" s="45"/>
    </row>
    <row r="3484" spans="1:1">
      <c r="A3484" s="45"/>
    </row>
    <row r="3485" spans="1:1">
      <c r="A3485" s="45"/>
    </row>
    <row r="3486" spans="1:1">
      <c r="A3486" s="45"/>
    </row>
    <row r="3487" spans="1:1">
      <c r="A3487" s="45"/>
    </row>
    <row r="3488" spans="1:1">
      <c r="A3488" s="45"/>
    </row>
    <row r="3489" spans="1:1">
      <c r="A3489" s="45"/>
    </row>
    <row r="3490" spans="1:1">
      <c r="A3490" s="45"/>
    </row>
    <row r="3491" spans="1:1">
      <c r="A3491" s="45"/>
    </row>
    <row r="3492" spans="1:1">
      <c r="A3492" s="45"/>
    </row>
    <row r="3493" spans="1:1">
      <c r="A3493" s="45"/>
    </row>
    <row r="3494" spans="1:1">
      <c r="A3494" s="45"/>
    </row>
    <row r="3495" spans="1:1">
      <c r="A3495" s="45"/>
    </row>
    <row r="3496" spans="1:1">
      <c r="A3496" s="45"/>
    </row>
    <row r="3497" spans="1:1">
      <c r="A3497" s="45"/>
    </row>
    <row r="3498" spans="1:1">
      <c r="A3498" s="45"/>
    </row>
    <row r="3499" spans="1:1">
      <c r="A3499" s="45"/>
    </row>
    <row r="3500" spans="1:1">
      <c r="A3500" s="45"/>
    </row>
    <row r="3501" spans="1:1">
      <c r="A3501" s="45"/>
    </row>
    <row r="3502" spans="1:1">
      <c r="A3502" s="45"/>
    </row>
    <row r="3503" spans="1:1">
      <c r="A3503" s="45"/>
    </row>
    <row r="3504" spans="1:1">
      <c r="A3504" s="45"/>
    </row>
    <row r="3505" spans="1:1">
      <c r="A3505" s="45"/>
    </row>
    <row r="3506" spans="1:1">
      <c r="A3506" s="45"/>
    </row>
    <row r="3507" spans="1:1">
      <c r="A3507" s="45"/>
    </row>
    <row r="3508" spans="1:1">
      <c r="A3508" s="45"/>
    </row>
    <row r="3509" spans="1:1">
      <c r="A3509" s="45"/>
    </row>
    <row r="3510" spans="1:1">
      <c r="A3510" s="45"/>
    </row>
    <row r="3511" spans="1:1">
      <c r="A3511" s="45"/>
    </row>
    <row r="3512" spans="1:1">
      <c r="A3512" s="45"/>
    </row>
    <row r="3513" spans="1:1">
      <c r="A3513" s="45"/>
    </row>
    <row r="3514" spans="1:1">
      <c r="A3514" s="45"/>
    </row>
    <row r="3515" spans="1:1">
      <c r="A3515" s="45"/>
    </row>
    <row r="3516" spans="1:1">
      <c r="A3516" s="45"/>
    </row>
    <row r="3517" spans="1:1">
      <c r="A3517" s="45"/>
    </row>
    <row r="3518" spans="1:1">
      <c r="A3518" s="45"/>
    </row>
    <row r="3519" spans="1:1">
      <c r="A3519" s="45"/>
    </row>
    <row r="3520" spans="1:1">
      <c r="A3520" s="45"/>
    </row>
    <row r="3521" spans="1:1">
      <c r="A3521" s="45"/>
    </row>
    <row r="3522" spans="1:1">
      <c r="A3522" s="45"/>
    </row>
    <row r="3523" spans="1:1">
      <c r="A3523" s="45"/>
    </row>
    <row r="3524" spans="1:1">
      <c r="A3524" s="45"/>
    </row>
    <row r="3525" spans="1:1">
      <c r="A3525" s="45"/>
    </row>
    <row r="3526" spans="1:1">
      <c r="A3526" s="45"/>
    </row>
    <row r="3527" spans="1:1">
      <c r="A3527" s="45"/>
    </row>
    <row r="3528" spans="1:1">
      <c r="A3528" s="45"/>
    </row>
    <row r="3529" spans="1:1">
      <c r="A3529" s="45"/>
    </row>
    <row r="3530" spans="1:1">
      <c r="A3530" s="45"/>
    </row>
    <row r="3531" spans="1:1">
      <c r="A3531" s="45"/>
    </row>
    <row r="3532" spans="1:1">
      <c r="A3532" s="45"/>
    </row>
    <row r="3533" spans="1:1">
      <c r="A3533" s="45"/>
    </row>
    <row r="3534" spans="1:1">
      <c r="A3534" s="45"/>
    </row>
    <row r="3535" spans="1:1">
      <c r="A3535" s="45"/>
    </row>
    <row r="3536" spans="1:1">
      <c r="A3536" s="45"/>
    </row>
    <row r="3537" spans="1:1">
      <c r="A3537" s="45"/>
    </row>
    <row r="3538" spans="1:1">
      <c r="A3538" s="45"/>
    </row>
    <row r="3539" spans="1:1">
      <c r="A3539" s="45"/>
    </row>
    <row r="3540" spans="1:1">
      <c r="A3540" s="45"/>
    </row>
    <row r="3541" spans="1:1">
      <c r="A3541" s="45"/>
    </row>
    <row r="3542" spans="1:1">
      <c r="A3542" s="45"/>
    </row>
    <row r="3543" spans="1:1">
      <c r="A3543" s="45"/>
    </row>
    <row r="3544" spans="1:1">
      <c r="A3544" s="45"/>
    </row>
    <row r="3545" spans="1:1">
      <c r="A3545" s="45"/>
    </row>
    <row r="3546" spans="1:1">
      <c r="A3546" s="45"/>
    </row>
    <row r="3547" spans="1:1">
      <c r="A3547" s="45"/>
    </row>
    <row r="3548" spans="1:1">
      <c r="A3548" s="45"/>
    </row>
    <row r="3549" spans="1:1">
      <c r="A3549" s="45"/>
    </row>
    <row r="3550" spans="1:1">
      <c r="A3550" s="45"/>
    </row>
    <row r="3551" spans="1:1">
      <c r="A3551" s="45"/>
    </row>
    <row r="3552" spans="1:1">
      <c r="A3552" s="45"/>
    </row>
    <row r="3553" spans="1:1">
      <c r="A3553" s="45"/>
    </row>
    <row r="3554" spans="1:1">
      <c r="A3554" s="45"/>
    </row>
    <row r="3555" spans="1:1">
      <c r="A3555" s="45"/>
    </row>
    <row r="3556" spans="1:1">
      <c r="A3556" s="45"/>
    </row>
    <row r="3557" spans="1:1">
      <c r="A3557" s="45"/>
    </row>
    <row r="3558" spans="1:1">
      <c r="A3558" s="45"/>
    </row>
    <row r="3559" spans="1:1">
      <c r="A3559" s="45"/>
    </row>
    <row r="3560" spans="1:1">
      <c r="A3560" s="45"/>
    </row>
    <row r="3561" spans="1:1">
      <c r="A3561" s="45"/>
    </row>
    <row r="3562" spans="1:1">
      <c r="A3562" s="45"/>
    </row>
    <row r="3563" spans="1:1">
      <c r="A3563" s="45"/>
    </row>
    <row r="3564" spans="1:1">
      <c r="A3564" s="45"/>
    </row>
    <row r="3565" spans="1:1">
      <c r="A3565" s="45"/>
    </row>
    <row r="3566" spans="1:1">
      <c r="A3566" s="45"/>
    </row>
    <row r="3567" spans="1:1">
      <c r="A3567" s="45"/>
    </row>
    <row r="3568" spans="1:1">
      <c r="A3568" s="45"/>
    </row>
    <row r="3569" spans="1:1">
      <c r="A3569" s="45"/>
    </row>
    <row r="3570" spans="1:1">
      <c r="A3570" s="45"/>
    </row>
    <row r="3571" spans="1:1">
      <c r="A3571" s="45"/>
    </row>
    <row r="3572" spans="1:1">
      <c r="A3572" s="45"/>
    </row>
    <row r="3573" spans="1:1">
      <c r="A3573" s="45"/>
    </row>
    <row r="3574" spans="1:1">
      <c r="A3574" s="45"/>
    </row>
    <row r="3575" spans="1:1">
      <c r="A3575" s="45"/>
    </row>
    <row r="3576" spans="1:1">
      <c r="A3576" s="45"/>
    </row>
    <row r="3577" spans="1:1">
      <c r="A3577" s="45"/>
    </row>
    <row r="3578" spans="1:1">
      <c r="A3578" s="45"/>
    </row>
    <row r="3579" spans="1:1">
      <c r="A3579" s="45"/>
    </row>
    <row r="3580" spans="1:1">
      <c r="A3580" s="45"/>
    </row>
    <row r="3581" spans="1:1">
      <c r="A3581" s="45"/>
    </row>
    <row r="3582" spans="1:1">
      <c r="A3582" s="45"/>
    </row>
    <row r="3583" spans="1:1">
      <c r="A3583" s="45"/>
    </row>
    <row r="3584" spans="1:1">
      <c r="A3584" s="45"/>
    </row>
    <row r="3585" spans="1:1">
      <c r="A3585" s="45"/>
    </row>
    <row r="3586" spans="1:1">
      <c r="A3586" s="45"/>
    </row>
    <row r="3587" spans="1:1">
      <c r="A3587" s="45"/>
    </row>
    <row r="3588" spans="1:1">
      <c r="A3588" s="45"/>
    </row>
    <row r="3589" spans="1:1">
      <c r="A3589" s="45"/>
    </row>
    <row r="3590" spans="1:1">
      <c r="A3590" s="45"/>
    </row>
    <row r="3591" spans="1:1">
      <c r="A3591" s="45"/>
    </row>
    <row r="3592" spans="1:1">
      <c r="A3592" s="45"/>
    </row>
    <row r="3593" spans="1:1">
      <c r="A3593" s="45"/>
    </row>
    <row r="3594" spans="1:1">
      <c r="A3594" s="45"/>
    </row>
    <row r="3595" spans="1:1">
      <c r="A3595" s="45"/>
    </row>
    <row r="3596" spans="1:1">
      <c r="A3596" s="45"/>
    </row>
    <row r="3597" spans="1:1">
      <c r="A3597" s="45"/>
    </row>
    <row r="3598" spans="1:1">
      <c r="A3598" s="45"/>
    </row>
    <row r="3599" spans="1:1">
      <c r="A3599" s="45"/>
    </row>
    <row r="3600" spans="1:1">
      <c r="A3600" s="45"/>
    </row>
    <row r="3601" spans="1:1">
      <c r="A3601" s="45"/>
    </row>
    <row r="3602" spans="1:1">
      <c r="A3602" s="45"/>
    </row>
    <row r="3603" spans="1:1">
      <c r="A3603" s="45"/>
    </row>
    <row r="3604" spans="1:1">
      <c r="A3604" s="45"/>
    </row>
    <row r="3605" spans="1:1">
      <c r="A3605" s="45"/>
    </row>
    <row r="3606" spans="1:1">
      <c r="A3606" s="45"/>
    </row>
    <row r="3607" spans="1:1">
      <c r="A3607" s="45"/>
    </row>
    <row r="3608" spans="1:1">
      <c r="A3608" s="45"/>
    </row>
    <row r="3609" spans="1:1">
      <c r="A3609" s="45"/>
    </row>
    <row r="3610" spans="1:1">
      <c r="A3610" s="45"/>
    </row>
    <row r="3611" spans="1:1">
      <c r="A3611" s="45"/>
    </row>
    <row r="3612" spans="1:1">
      <c r="A3612" s="45"/>
    </row>
    <row r="3613" spans="1:1">
      <c r="A3613" s="45"/>
    </row>
    <row r="3614" spans="1:1">
      <c r="A3614" s="45"/>
    </row>
    <row r="3615" spans="1:1">
      <c r="A3615" s="45"/>
    </row>
    <row r="3616" spans="1:1">
      <c r="A3616" s="45"/>
    </row>
    <row r="3617" spans="1:1">
      <c r="A3617" s="45"/>
    </row>
    <row r="3618" spans="1:1">
      <c r="A3618" s="45"/>
    </row>
    <row r="3619" spans="1:1">
      <c r="A3619" s="45"/>
    </row>
    <row r="3620" spans="1:1">
      <c r="A3620" s="45"/>
    </row>
    <row r="3621" spans="1:1">
      <c r="A3621" s="45"/>
    </row>
    <row r="3622" spans="1:1">
      <c r="A3622" s="45"/>
    </row>
    <row r="3623" spans="1:1">
      <c r="A3623" s="45"/>
    </row>
    <row r="3624" spans="1:1">
      <c r="A3624" s="45"/>
    </row>
    <row r="3625" spans="1:1">
      <c r="A3625" s="45"/>
    </row>
    <row r="3626" spans="1:1">
      <c r="A3626" s="45"/>
    </row>
    <row r="3627" spans="1:1">
      <c r="A3627" s="45"/>
    </row>
    <row r="3628" spans="1:1">
      <c r="A3628" s="45"/>
    </row>
    <row r="3629" spans="1:1">
      <c r="A3629" s="45"/>
    </row>
    <row r="3630" spans="1:1">
      <c r="A3630" s="45"/>
    </row>
    <row r="3631" spans="1:1">
      <c r="A3631" s="45"/>
    </row>
    <row r="3632" spans="1:1">
      <c r="A3632" s="45"/>
    </row>
    <row r="3633" spans="1:1">
      <c r="A3633" s="45"/>
    </row>
    <row r="3634" spans="1:1">
      <c r="A3634" s="45"/>
    </row>
    <row r="3635" spans="1:1">
      <c r="A3635" s="45"/>
    </row>
    <row r="3636" spans="1:1">
      <c r="A3636" s="45"/>
    </row>
    <row r="3637" spans="1:1">
      <c r="A3637" s="45"/>
    </row>
    <row r="3638" spans="1:1">
      <c r="A3638" s="45"/>
    </row>
    <row r="3639" spans="1:1">
      <c r="A3639" s="45"/>
    </row>
    <row r="3640" spans="1:1">
      <c r="A3640" s="45"/>
    </row>
    <row r="3641" spans="1:1">
      <c r="A3641" s="45"/>
    </row>
    <row r="3642" spans="1:1">
      <c r="A3642" s="45"/>
    </row>
    <row r="3643" spans="1:1">
      <c r="A3643" s="45"/>
    </row>
    <row r="3644" spans="1:1">
      <c r="A3644" s="45"/>
    </row>
    <row r="3645" spans="1:1">
      <c r="A3645" s="45"/>
    </row>
    <row r="3646" spans="1:1">
      <c r="A3646" s="45"/>
    </row>
    <row r="3647" spans="1:1">
      <c r="A3647" s="45"/>
    </row>
    <row r="3648" spans="1:1">
      <c r="A3648" s="45"/>
    </row>
    <row r="3649" spans="1:1">
      <c r="A3649" s="45"/>
    </row>
    <row r="3650" spans="1:1">
      <c r="A3650" s="45"/>
    </row>
    <row r="3651" spans="1:1">
      <c r="A3651" s="45"/>
    </row>
    <row r="3652" spans="1:1">
      <c r="A3652" s="45"/>
    </row>
    <row r="3653" spans="1:1">
      <c r="A3653" s="45"/>
    </row>
    <row r="3654" spans="1:1">
      <c r="A3654" s="45"/>
    </row>
    <row r="3655" spans="1:1">
      <c r="A3655" s="45"/>
    </row>
    <row r="3656" spans="1:1">
      <c r="A3656" s="45"/>
    </row>
    <row r="3657" spans="1:1">
      <c r="A3657" s="45"/>
    </row>
    <row r="3658" spans="1:1">
      <c r="A3658" s="45"/>
    </row>
    <row r="3659" spans="1:1">
      <c r="A3659" s="45"/>
    </row>
    <row r="3660" spans="1:1">
      <c r="A3660" s="45"/>
    </row>
    <row r="3661" spans="1:1">
      <c r="A3661" s="45"/>
    </row>
    <row r="3662" spans="1:1">
      <c r="A3662" s="45"/>
    </row>
    <row r="3663" spans="1:1">
      <c r="A3663" s="45"/>
    </row>
    <row r="3664" spans="1:1">
      <c r="A3664" s="45"/>
    </row>
    <row r="3665" spans="1:1">
      <c r="A3665" s="45"/>
    </row>
    <row r="3666" spans="1:1">
      <c r="A3666" s="45"/>
    </row>
    <row r="3667" spans="1:1">
      <c r="A3667" s="45"/>
    </row>
    <row r="3668" spans="1:1">
      <c r="A3668" s="45"/>
    </row>
    <row r="3669" spans="1:1">
      <c r="A3669" s="45"/>
    </row>
    <row r="3670" spans="1:1">
      <c r="A3670" s="45"/>
    </row>
    <row r="3671" spans="1:1">
      <c r="A3671" s="45"/>
    </row>
    <row r="3672" spans="1:1">
      <c r="A3672" s="45"/>
    </row>
    <row r="3673" spans="1:1">
      <c r="A3673" s="45"/>
    </row>
    <row r="3674" spans="1:1">
      <c r="A3674" s="45"/>
    </row>
    <row r="3675" spans="1:1">
      <c r="A3675" s="45"/>
    </row>
    <row r="3676" spans="1:1">
      <c r="A3676" s="45"/>
    </row>
    <row r="3677" spans="1:1">
      <c r="A3677" s="45"/>
    </row>
    <row r="3678" spans="1:1">
      <c r="A3678" s="45"/>
    </row>
    <row r="3679" spans="1:1">
      <c r="A3679" s="45"/>
    </row>
    <row r="3680" spans="1:1">
      <c r="A3680" s="45"/>
    </row>
    <row r="3681" spans="1:1">
      <c r="A3681" s="45"/>
    </row>
    <row r="3682" spans="1:1">
      <c r="A3682" s="45"/>
    </row>
    <row r="3683" spans="1:1">
      <c r="A3683" s="45"/>
    </row>
    <row r="3684" spans="1:1">
      <c r="A3684" s="45"/>
    </row>
    <row r="3685" spans="1:1">
      <c r="A3685" s="45"/>
    </row>
    <row r="3686" spans="1:1">
      <c r="A3686" s="45"/>
    </row>
    <row r="3687" spans="1:1">
      <c r="A3687" s="45"/>
    </row>
    <row r="3688" spans="1:1">
      <c r="A3688" s="45"/>
    </row>
    <row r="3689" spans="1:1">
      <c r="A3689" s="45"/>
    </row>
    <row r="3690" spans="1:1">
      <c r="A3690" s="45"/>
    </row>
    <row r="3691" spans="1:1">
      <c r="A3691" s="45"/>
    </row>
    <row r="3692" spans="1:1">
      <c r="A3692" s="45"/>
    </row>
    <row r="3693" spans="1:1">
      <c r="A3693" s="45"/>
    </row>
    <row r="3694" spans="1:1">
      <c r="A3694" s="45"/>
    </row>
    <row r="3695" spans="1:1">
      <c r="A3695" s="45"/>
    </row>
    <row r="3696" spans="1:1">
      <c r="A3696" s="45"/>
    </row>
    <row r="3697" spans="1:1">
      <c r="A3697" s="45"/>
    </row>
    <row r="3698" spans="1:1">
      <c r="A3698" s="45"/>
    </row>
    <row r="3699" spans="1:1">
      <c r="A3699" s="45"/>
    </row>
    <row r="3700" spans="1:1">
      <c r="A3700" s="45"/>
    </row>
    <row r="3701" spans="1:1">
      <c r="A3701" s="45"/>
    </row>
    <row r="3702" spans="1:1">
      <c r="A3702" s="45"/>
    </row>
    <row r="3703" spans="1:1">
      <c r="A3703" s="45"/>
    </row>
    <row r="3704" spans="1:1">
      <c r="A3704" s="45"/>
    </row>
    <row r="3705" spans="1:1">
      <c r="A3705" s="45"/>
    </row>
    <row r="3706" spans="1:1">
      <c r="A3706" s="45"/>
    </row>
    <row r="3707" spans="1:1">
      <c r="A3707" s="45"/>
    </row>
    <row r="3708" spans="1:1">
      <c r="A3708" s="45"/>
    </row>
    <row r="3709" spans="1:1">
      <c r="A3709" s="45"/>
    </row>
    <row r="3710" spans="1:1">
      <c r="A3710" s="45"/>
    </row>
    <row r="3711" spans="1:1">
      <c r="A3711" s="45"/>
    </row>
    <row r="3712" spans="1:1">
      <c r="A3712" s="45"/>
    </row>
    <row r="3713" spans="1:1">
      <c r="A3713" s="45"/>
    </row>
    <row r="3714" spans="1:1">
      <c r="A3714" s="45"/>
    </row>
    <row r="3715" spans="1:1">
      <c r="A3715" s="45"/>
    </row>
    <row r="3716" spans="1:1">
      <c r="A3716" s="45"/>
    </row>
    <row r="3717" spans="1:1">
      <c r="A3717" s="45"/>
    </row>
    <row r="3718" spans="1:1">
      <c r="A3718" s="45"/>
    </row>
    <row r="3719" spans="1:1">
      <c r="A3719" s="45"/>
    </row>
    <row r="3720" spans="1:1">
      <c r="A3720" s="45"/>
    </row>
    <row r="3721" spans="1:1">
      <c r="A3721" s="45"/>
    </row>
    <row r="3722" spans="1:1">
      <c r="A3722" s="45"/>
    </row>
    <row r="3723" spans="1:1">
      <c r="A3723" s="45"/>
    </row>
    <row r="3724" spans="1:1">
      <c r="A3724" s="45"/>
    </row>
    <row r="3725" spans="1:1">
      <c r="A3725" s="45"/>
    </row>
    <row r="3726" spans="1:1">
      <c r="A3726" s="45"/>
    </row>
    <row r="3727" spans="1:1">
      <c r="A3727" s="45"/>
    </row>
    <row r="3728" spans="1:1">
      <c r="A3728" s="45"/>
    </row>
    <row r="3729" spans="1:1">
      <c r="A3729" s="45"/>
    </row>
    <row r="3730" spans="1:1">
      <c r="A3730" s="45"/>
    </row>
    <row r="3731" spans="1:1">
      <c r="A3731" s="45"/>
    </row>
    <row r="3732" spans="1:1">
      <c r="A3732" s="45"/>
    </row>
    <row r="3733" spans="1:1">
      <c r="A3733" s="45"/>
    </row>
    <row r="3734" spans="1:1">
      <c r="A3734" s="45"/>
    </row>
    <row r="3735" spans="1:1">
      <c r="A3735" s="45"/>
    </row>
    <row r="3736" spans="1:1">
      <c r="A3736" s="45"/>
    </row>
    <row r="3737" spans="1:1">
      <c r="A3737" s="45"/>
    </row>
    <row r="3738" spans="1:1">
      <c r="A3738" s="45"/>
    </row>
    <row r="3739" spans="1:1">
      <c r="A3739" s="45"/>
    </row>
    <row r="3740" spans="1:1">
      <c r="A3740" s="45"/>
    </row>
    <row r="3741" spans="1:1">
      <c r="A3741" s="45"/>
    </row>
    <row r="3742" spans="1:1">
      <c r="A3742" s="45"/>
    </row>
    <row r="3743" spans="1:1">
      <c r="A3743" s="45"/>
    </row>
    <row r="3744" spans="1:1">
      <c r="A3744" s="45"/>
    </row>
    <row r="3745" spans="1:1">
      <c r="A3745" s="45"/>
    </row>
    <row r="3746" spans="1:1">
      <c r="A3746" s="45"/>
    </row>
    <row r="3747" spans="1:1">
      <c r="A3747" s="45"/>
    </row>
    <row r="3748" spans="1:1">
      <c r="A3748" s="45"/>
    </row>
    <row r="3749" spans="1:1">
      <c r="A3749" s="45"/>
    </row>
    <row r="3750" spans="1:1">
      <c r="A3750" s="45"/>
    </row>
    <row r="3751" spans="1:1">
      <c r="A3751" s="45"/>
    </row>
    <row r="3752" spans="1:1">
      <c r="A3752" s="45"/>
    </row>
    <row r="3753" spans="1:1">
      <c r="A3753" s="45"/>
    </row>
    <row r="3754" spans="1:1">
      <c r="A3754" s="45"/>
    </row>
    <row r="3755" spans="1:1">
      <c r="A3755" s="45"/>
    </row>
    <row r="3756" spans="1:1">
      <c r="A3756" s="45"/>
    </row>
    <row r="3757" spans="1:1">
      <c r="A3757" s="45"/>
    </row>
    <row r="3758" spans="1:1">
      <c r="A3758" s="45"/>
    </row>
    <row r="3759" spans="1:1">
      <c r="A3759" s="45"/>
    </row>
    <row r="3760" spans="1:1">
      <c r="A3760" s="45"/>
    </row>
    <row r="3761" spans="1:1">
      <c r="A3761" s="45"/>
    </row>
    <row r="3762" spans="1:1">
      <c r="A3762" s="45"/>
    </row>
    <row r="3763" spans="1:1">
      <c r="A3763" s="45"/>
    </row>
    <row r="3764" spans="1:1">
      <c r="A3764" s="45"/>
    </row>
    <row r="3765" spans="1:1">
      <c r="A3765" s="45"/>
    </row>
    <row r="3766" spans="1:1">
      <c r="A3766" s="45"/>
    </row>
    <row r="3767" spans="1:1">
      <c r="A3767" s="45"/>
    </row>
    <row r="3768" spans="1:1">
      <c r="A3768" s="45"/>
    </row>
    <row r="3769" spans="1:1">
      <c r="A3769" s="45"/>
    </row>
    <row r="3770" spans="1:1">
      <c r="A3770" s="45"/>
    </row>
    <row r="3771" spans="1:1">
      <c r="A3771" s="45"/>
    </row>
    <row r="3772" spans="1:1">
      <c r="A3772" s="45"/>
    </row>
    <row r="3773" spans="1:1">
      <c r="A3773" s="45"/>
    </row>
    <row r="3774" spans="1:1">
      <c r="A3774" s="45"/>
    </row>
    <row r="3775" spans="1:1">
      <c r="A3775" s="45"/>
    </row>
    <row r="3776" spans="1:1">
      <c r="A3776" s="45"/>
    </row>
    <row r="3777" spans="1:1">
      <c r="A3777" s="45"/>
    </row>
    <row r="3778" spans="1:1">
      <c r="A3778" s="45"/>
    </row>
    <row r="3779" spans="1:1">
      <c r="A3779" s="45"/>
    </row>
    <row r="3780" spans="1:1">
      <c r="A3780" s="45"/>
    </row>
    <row r="3781" spans="1:1">
      <c r="A3781" s="45"/>
    </row>
    <row r="3782" spans="1:1">
      <c r="A3782" s="45"/>
    </row>
    <row r="3783" spans="1:1">
      <c r="A3783" s="45"/>
    </row>
    <row r="3784" spans="1:1">
      <c r="A3784" s="45"/>
    </row>
    <row r="3785" spans="1:1">
      <c r="A3785" s="45"/>
    </row>
    <row r="3786" spans="1:1">
      <c r="A3786" s="45"/>
    </row>
    <row r="3787" spans="1:1">
      <c r="A3787" s="45"/>
    </row>
    <row r="3788" spans="1:1">
      <c r="A3788" s="45"/>
    </row>
    <row r="3789" spans="1:1">
      <c r="A3789" s="45"/>
    </row>
    <row r="3790" spans="1:1">
      <c r="A3790" s="45"/>
    </row>
    <row r="3791" spans="1:1">
      <c r="A3791" s="45"/>
    </row>
    <row r="3792" spans="1:1">
      <c r="A3792" s="45"/>
    </row>
    <row r="3793" spans="1:1">
      <c r="A3793" s="45"/>
    </row>
    <row r="3794" spans="1:1">
      <c r="A3794" s="45"/>
    </row>
    <row r="3795" spans="1:1">
      <c r="A3795" s="45"/>
    </row>
    <row r="3796" spans="1:1">
      <c r="A3796" s="45"/>
    </row>
    <row r="3797" spans="1:1">
      <c r="A3797" s="45"/>
    </row>
    <row r="3798" spans="1:1">
      <c r="A3798" s="45"/>
    </row>
    <row r="3799" spans="1:1">
      <c r="A3799" s="45"/>
    </row>
    <row r="3800" spans="1:1">
      <c r="A3800" s="45"/>
    </row>
    <row r="3801" spans="1:1">
      <c r="A3801" s="45"/>
    </row>
    <row r="3802" spans="1:1">
      <c r="A3802" s="45"/>
    </row>
    <row r="3803" spans="1:1">
      <c r="A3803" s="45"/>
    </row>
    <row r="3804" spans="1:1">
      <c r="A3804" s="45"/>
    </row>
    <row r="3805" spans="1:1">
      <c r="A3805" s="45"/>
    </row>
    <row r="3806" spans="1:1">
      <c r="A3806" s="45"/>
    </row>
    <row r="3807" spans="1:1">
      <c r="A3807" s="45"/>
    </row>
    <row r="3808" spans="1:1">
      <c r="A3808" s="45"/>
    </row>
    <row r="3809" spans="1:1">
      <c r="A3809" s="45"/>
    </row>
    <row r="3810" spans="1:1">
      <c r="A3810" s="45"/>
    </row>
    <row r="3811" spans="1:1">
      <c r="A3811" s="45"/>
    </row>
    <row r="3812" spans="1:1">
      <c r="A3812" s="45"/>
    </row>
    <row r="3813" spans="1:1">
      <c r="A3813" s="45"/>
    </row>
    <row r="3814" spans="1:1">
      <c r="A3814" s="45"/>
    </row>
    <row r="3815" spans="1:1">
      <c r="A3815" s="45"/>
    </row>
    <row r="3816" spans="1:1">
      <c r="A3816" s="45"/>
    </row>
    <row r="3817" spans="1:1">
      <c r="A3817" s="45"/>
    </row>
    <row r="3818" spans="1:1">
      <c r="A3818" s="45"/>
    </row>
    <row r="3819" spans="1:1">
      <c r="A3819" s="45"/>
    </row>
    <row r="3820" spans="1:1">
      <c r="A3820" s="45"/>
    </row>
    <row r="3821" spans="1:1">
      <c r="A3821" s="45"/>
    </row>
    <row r="3822" spans="1:1">
      <c r="A3822" s="45"/>
    </row>
    <row r="3823" spans="1:1">
      <c r="A3823" s="45"/>
    </row>
    <row r="3824" spans="1:1">
      <c r="A3824" s="45"/>
    </row>
    <row r="3825" spans="1:1">
      <c r="A3825" s="45"/>
    </row>
    <row r="3826" spans="1:1">
      <c r="A3826" s="45"/>
    </row>
    <row r="3827" spans="1:1">
      <c r="A3827" s="45"/>
    </row>
    <row r="3828" spans="1:1">
      <c r="A3828" s="45"/>
    </row>
    <row r="3829" spans="1:1">
      <c r="A3829" s="45"/>
    </row>
    <row r="3830" spans="1:1">
      <c r="A3830" s="45"/>
    </row>
    <row r="3831" spans="1:1">
      <c r="A3831" s="45"/>
    </row>
    <row r="3832" spans="1:1">
      <c r="A3832" s="45"/>
    </row>
    <row r="3833" spans="1:1">
      <c r="A3833" s="45"/>
    </row>
    <row r="3834" spans="1:1">
      <c r="A3834" s="45"/>
    </row>
    <row r="3835" spans="1:1">
      <c r="A3835" s="45"/>
    </row>
    <row r="3836" spans="1:1">
      <c r="A3836" s="45"/>
    </row>
    <row r="3837" spans="1:1">
      <c r="A3837" s="45"/>
    </row>
    <row r="3838" spans="1:1">
      <c r="A3838" s="45"/>
    </row>
    <row r="3839" spans="1:1">
      <c r="A3839" s="45"/>
    </row>
    <row r="3840" spans="1:1">
      <c r="A3840" s="45"/>
    </row>
    <row r="3841" spans="1:1">
      <c r="A3841" s="45"/>
    </row>
    <row r="3842" spans="1:1">
      <c r="A3842" s="45"/>
    </row>
    <row r="3843" spans="1:1">
      <c r="A3843" s="45"/>
    </row>
    <row r="3844" spans="1:1">
      <c r="A3844" s="45"/>
    </row>
    <row r="3845" spans="1:1">
      <c r="A3845" s="45"/>
    </row>
    <row r="3846" spans="1:1">
      <c r="A3846" s="45"/>
    </row>
    <row r="3847" spans="1:1">
      <c r="A3847" s="45"/>
    </row>
    <row r="3848" spans="1:1">
      <c r="A3848" s="45"/>
    </row>
    <row r="3849" spans="1:1">
      <c r="A3849" s="45"/>
    </row>
    <row r="3850" spans="1:1">
      <c r="A3850" s="45"/>
    </row>
    <row r="3851" spans="1:1">
      <c r="A3851" s="45"/>
    </row>
    <row r="3852" spans="1:1">
      <c r="A3852" s="45"/>
    </row>
    <row r="3853" spans="1:1">
      <c r="A3853" s="45"/>
    </row>
    <row r="3854" spans="1:1">
      <c r="A3854" s="45"/>
    </row>
    <row r="3855" spans="1:1">
      <c r="A3855" s="45"/>
    </row>
    <row r="3856" spans="1:1">
      <c r="A3856" s="45"/>
    </row>
    <row r="3857" spans="1:1">
      <c r="A3857" s="45"/>
    </row>
    <row r="3858" spans="1:1">
      <c r="A3858" s="45"/>
    </row>
    <row r="3859" spans="1:1">
      <c r="A3859" s="45"/>
    </row>
    <row r="3860" spans="1:1">
      <c r="A3860" s="45"/>
    </row>
    <row r="3861" spans="1:1">
      <c r="A3861" s="45"/>
    </row>
    <row r="3862" spans="1:1">
      <c r="A3862" s="45"/>
    </row>
    <row r="3863" spans="1:1">
      <c r="A3863" s="45"/>
    </row>
    <row r="3864" spans="1:1">
      <c r="A3864" s="45"/>
    </row>
    <row r="3865" spans="1:1">
      <c r="A3865" s="45"/>
    </row>
    <row r="3866" spans="1:1">
      <c r="A3866" s="45"/>
    </row>
    <row r="3867" spans="1:1">
      <c r="A3867" s="45"/>
    </row>
    <row r="3868" spans="1:1">
      <c r="A3868" s="45"/>
    </row>
    <row r="3869" spans="1:1">
      <c r="A3869" s="45"/>
    </row>
    <row r="3870" spans="1:1">
      <c r="A3870" s="45"/>
    </row>
    <row r="3871" spans="1:1">
      <c r="A3871" s="45"/>
    </row>
    <row r="3872" spans="1:1">
      <c r="A3872" s="45"/>
    </row>
    <row r="3873" spans="1:1">
      <c r="A3873" s="45"/>
    </row>
    <row r="3874" spans="1:1">
      <c r="A3874" s="45"/>
    </row>
    <row r="3875" spans="1:1">
      <c r="A3875" s="45"/>
    </row>
    <row r="3876" spans="1:1">
      <c r="A3876" s="45"/>
    </row>
    <row r="3877" spans="1:1">
      <c r="A3877" s="45"/>
    </row>
    <row r="3878" spans="1:1">
      <c r="A3878" s="45"/>
    </row>
    <row r="3879" spans="1:1">
      <c r="A3879" s="45"/>
    </row>
    <row r="3880" spans="1:1">
      <c r="A3880" s="45"/>
    </row>
    <row r="3881" spans="1:1">
      <c r="A3881" s="45"/>
    </row>
    <row r="3882" spans="1:1">
      <c r="A3882" s="45"/>
    </row>
    <row r="3883" spans="1:1">
      <c r="A3883" s="45"/>
    </row>
    <row r="3884" spans="1:1">
      <c r="A3884" s="45"/>
    </row>
    <row r="3885" spans="1:1">
      <c r="A3885" s="45"/>
    </row>
    <row r="3886" spans="1:1">
      <c r="A3886" s="45"/>
    </row>
    <row r="3887" spans="1:1">
      <c r="A3887" s="45"/>
    </row>
    <row r="3888" spans="1:1">
      <c r="A3888" s="45"/>
    </row>
    <row r="3889" spans="1:1">
      <c r="A3889" s="45"/>
    </row>
    <row r="3890" spans="1:1">
      <c r="A3890" s="45"/>
    </row>
    <row r="3891" spans="1:1">
      <c r="A3891" s="45"/>
    </row>
    <row r="3892" spans="1:1">
      <c r="A3892" s="45"/>
    </row>
    <row r="3893" spans="1:1">
      <c r="A3893" s="45"/>
    </row>
    <row r="3894" spans="1:1">
      <c r="A3894" s="45"/>
    </row>
    <row r="3895" spans="1:1">
      <c r="A3895" s="45"/>
    </row>
    <row r="3896" spans="1:1">
      <c r="A3896" s="45"/>
    </row>
    <row r="3897" spans="1:1">
      <c r="A3897" s="45"/>
    </row>
    <row r="3898" spans="1:1">
      <c r="A3898" s="45"/>
    </row>
    <row r="3899" spans="1:1">
      <c r="A3899" s="45"/>
    </row>
    <row r="3900" spans="1:1">
      <c r="A3900" s="45"/>
    </row>
    <row r="3901" spans="1:1">
      <c r="A3901" s="45"/>
    </row>
    <row r="3902" spans="1:1">
      <c r="A3902" s="45"/>
    </row>
    <row r="3903" spans="1:1">
      <c r="A3903" s="45"/>
    </row>
    <row r="3904" spans="1:1">
      <c r="A3904" s="45"/>
    </row>
    <row r="3905" spans="1:1">
      <c r="A3905" s="45"/>
    </row>
    <row r="3906" spans="1:1">
      <c r="A3906" s="45"/>
    </row>
    <row r="3907" spans="1:1">
      <c r="A3907" s="45"/>
    </row>
    <row r="3908" spans="1:1">
      <c r="A3908" s="45"/>
    </row>
    <row r="3909" spans="1:1">
      <c r="A3909" s="45"/>
    </row>
    <row r="3910" spans="1:1">
      <c r="A3910" s="45"/>
    </row>
    <row r="3911" spans="1:1">
      <c r="A3911" s="45"/>
    </row>
    <row r="3912" spans="1:1">
      <c r="A3912" s="45"/>
    </row>
    <row r="3913" spans="1:1">
      <c r="A3913" s="45"/>
    </row>
    <row r="3914" spans="1:1">
      <c r="A3914" s="45"/>
    </row>
    <row r="3915" spans="1:1">
      <c r="A3915" s="45"/>
    </row>
    <row r="3916" spans="1:1">
      <c r="A3916" s="45"/>
    </row>
    <row r="3917" spans="1:1">
      <c r="A3917" s="45"/>
    </row>
    <row r="3918" spans="1:1">
      <c r="A3918" s="45"/>
    </row>
    <row r="3919" spans="1:1">
      <c r="A3919" s="45"/>
    </row>
    <row r="3920" spans="1:1">
      <c r="A3920" s="45"/>
    </row>
    <row r="3921" spans="1:1">
      <c r="A3921" s="45"/>
    </row>
    <row r="3922" spans="1:1">
      <c r="A3922" s="45"/>
    </row>
    <row r="3923" spans="1:1">
      <c r="A3923" s="45"/>
    </row>
    <row r="3924" spans="1:1">
      <c r="A3924" s="45"/>
    </row>
    <row r="3925" spans="1:1">
      <c r="A3925" s="45"/>
    </row>
    <row r="3926" spans="1:1">
      <c r="A3926" s="45"/>
    </row>
    <row r="3927" spans="1:1">
      <c r="A3927" s="45"/>
    </row>
    <row r="3928" spans="1:1">
      <c r="A3928" s="45"/>
    </row>
    <row r="3929" spans="1:1">
      <c r="A3929" s="45"/>
    </row>
    <row r="3930" spans="1:1">
      <c r="A3930" s="45"/>
    </row>
    <row r="3931" spans="1:1">
      <c r="A3931" s="45"/>
    </row>
    <row r="3932" spans="1:1">
      <c r="A3932" s="45"/>
    </row>
    <row r="3933" spans="1:1">
      <c r="A3933" s="45"/>
    </row>
    <row r="3934" spans="1:1">
      <c r="A3934" s="45"/>
    </row>
    <row r="3935" spans="1:1">
      <c r="A3935" s="45"/>
    </row>
    <row r="3936" spans="1:1">
      <c r="A3936" s="45"/>
    </row>
    <row r="3937" spans="1:1">
      <c r="A3937" s="45"/>
    </row>
    <row r="3938" spans="1:1">
      <c r="A3938" s="45"/>
    </row>
    <row r="3939" spans="1:1">
      <c r="A3939" s="45"/>
    </row>
    <row r="3940" spans="1:1">
      <c r="A3940" s="45"/>
    </row>
    <row r="3941" spans="1:1">
      <c r="A3941" s="45"/>
    </row>
    <row r="3942" spans="1:1">
      <c r="A3942" s="45"/>
    </row>
    <row r="3943" spans="1:1">
      <c r="A3943" s="45"/>
    </row>
    <row r="3944" spans="1:1">
      <c r="A3944" s="45"/>
    </row>
    <row r="3945" spans="1:1">
      <c r="A3945" s="45"/>
    </row>
    <row r="3946" spans="1:1">
      <c r="A3946" s="45"/>
    </row>
    <row r="3947" spans="1:1">
      <c r="A3947" s="45"/>
    </row>
    <row r="3948" spans="1:1">
      <c r="A3948" s="45"/>
    </row>
    <row r="3949" spans="1:1">
      <c r="A3949" s="45"/>
    </row>
    <row r="3950" spans="1:1">
      <c r="A3950" s="45"/>
    </row>
    <row r="3951" spans="1:1">
      <c r="A3951" s="45"/>
    </row>
    <row r="3952" spans="1:1">
      <c r="A3952" s="45"/>
    </row>
    <row r="3953" spans="1:1">
      <c r="A3953" s="45"/>
    </row>
    <row r="3954" spans="1:1">
      <c r="A3954" s="45"/>
    </row>
    <row r="3955" spans="1:1">
      <c r="A3955" s="45"/>
    </row>
    <row r="3956" spans="1:1">
      <c r="A3956" s="45"/>
    </row>
    <row r="3957" spans="1:1">
      <c r="A3957" s="45"/>
    </row>
    <row r="3958" spans="1:1">
      <c r="A3958" s="45"/>
    </row>
    <row r="3959" spans="1:1">
      <c r="A3959" s="45"/>
    </row>
    <row r="3960" spans="1:1">
      <c r="A3960" s="45"/>
    </row>
    <row r="3961" spans="1:1">
      <c r="A3961" s="45"/>
    </row>
    <row r="3962" spans="1:1">
      <c r="A3962" s="45"/>
    </row>
    <row r="3963" spans="1:1">
      <c r="A3963" s="45"/>
    </row>
    <row r="3964" spans="1:1">
      <c r="A3964" s="45"/>
    </row>
    <row r="3965" spans="1:1">
      <c r="A3965" s="45"/>
    </row>
    <row r="3966" spans="1:1">
      <c r="A3966" s="45"/>
    </row>
    <row r="3967" spans="1:1">
      <c r="A3967" s="45"/>
    </row>
    <row r="3968" spans="1:1">
      <c r="A3968" s="45"/>
    </row>
    <row r="3969" spans="1:1">
      <c r="A3969" s="45"/>
    </row>
    <row r="3970" spans="1:1">
      <c r="A3970" s="45"/>
    </row>
    <row r="3971" spans="1:1">
      <c r="A3971" s="45"/>
    </row>
    <row r="3972" spans="1:1">
      <c r="A3972" s="45"/>
    </row>
    <row r="3973" spans="1:1">
      <c r="A3973" s="45"/>
    </row>
    <row r="3974" spans="1:1">
      <c r="A3974" s="45"/>
    </row>
    <row r="3975" spans="1:1">
      <c r="A3975" s="45"/>
    </row>
    <row r="3976" spans="1:1">
      <c r="A3976" s="45"/>
    </row>
    <row r="3977" spans="1:1">
      <c r="A3977" s="45"/>
    </row>
    <row r="3978" spans="1:1">
      <c r="A3978" s="45"/>
    </row>
    <row r="3979" spans="1:1">
      <c r="A3979" s="45"/>
    </row>
    <row r="3980" spans="1:1">
      <c r="A3980" s="45"/>
    </row>
    <row r="3981" spans="1:1">
      <c r="A3981" s="45"/>
    </row>
    <row r="3982" spans="1:1">
      <c r="A3982" s="45"/>
    </row>
    <row r="3983" spans="1:1">
      <c r="A3983" s="45"/>
    </row>
    <row r="3984" spans="1:1">
      <c r="A3984" s="45"/>
    </row>
    <row r="3985" spans="1:1">
      <c r="A3985" s="45"/>
    </row>
    <row r="3986" spans="1:1">
      <c r="A3986" s="45"/>
    </row>
    <row r="3987" spans="1:1">
      <c r="A3987" s="45"/>
    </row>
    <row r="3988" spans="1:1">
      <c r="A3988" s="45"/>
    </row>
    <row r="3989" spans="1:1">
      <c r="A3989" s="45"/>
    </row>
    <row r="3990" spans="1:1">
      <c r="A3990" s="45"/>
    </row>
    <row r="3991" spans="1:1">
      <c r="A3991" s="45"/>
    </row>
    <row r="3992" spans="1:1">
      <c r="A3992" s="45"/>
    </row>
    <row r="3993" spans="1:1">
      <c r="A3993" s="45"/>
    </row>
    <row r="3994" spans="1:1">
      <c r="A3994" s="45"/>
    </row>
    <row r="3995" spans="1:1">
      <c r="A3995" s="45"/>
    </row>
    <row r="3996" spans="1:1">
      <c r="A3996" s="45"/>
    </row>
    <row r="3997" spans="1:1">
      <c r="A3997" s="45"/>
    </row>
    <row r="3998" spans="1:1">
      <c r="A3998" s="45"/>
    </row>
    <row r="3999" spans="1:1">
      <c r="A3999" s="45"/>
    </row>
    <row r="4000" spans="1:1">
      <c r="A4000" s="45"/>
    </row>
    <row r="4001" spans="1:1">
      <c r="A4001" s="45"/>
    </row>
    <row r="4002" spans="1:1">
      <c r="A4002" s="45"/>
    </row>
    <row r="4003" spans="1:1">
      <c r="A4003" s="45"/>
    </row>
    <row r="4004" spans="1:1">
      <c r="A4004" s="45"/>
    </row>
    <row r="4005" spans="1:1">
      <c r="A4005" s="45"/>
    </row>
    <row r="4006" spans="1:1">
      <c r="A4006" s="45"/>
    </row>
    <row r="4007" spans="1:1">
      <c r="A4007" s="45"/>
    </row>
    <row r="4008" spans="1:1">
      <c r="A4008" s="45"/>
    </row>
    <row r="4009" spans="1:1">
      <c r="A4009" s="45"/>
    </row>
    <row r="4010" spans="1:1">
      <c r="A4010" s="45"/>
    </row>
    <row r="4011" spans="1:1">
      <c r="A4011" s="45"/>
    </row>
    <row r="4012" spans="1:1">
      <c r="A4012" s="45"/>
    </row>
    <row r="4013" spans="1:1">
      <c r="A4013" s="45"/>
    </row>
    <row r="4014" spans="1:1">
      <c r="A4014" s="45"/>
    </row>
    <row r="4015" spans="1:1">
      <c r="A4015" s="45"/>
    </row>
    <row r="4016" spans="1:1">
      <c r="A4016" s="45"/>
    </row>
    <row r="4017" spans="1:1">
      <c r="A4017" s="45"/>
    </row>
    <row r="4018" spans="1:1">
      <c r="A4018" s="45"/>
    </row>
    <row r="4019" spans="1:1">
      <c r="A4019" s="45"/>
    </row>
    <row r="4020" spans="1:1">
      <c r="A4020" s="45"/>
    </row>
    <row r="4021" spans="1:1">
      <c r="A4021" s="45"/>
    </row>
    <row r="4022" spans="1:1">
      <c r="A4022" s="45"/>
    </row>
    <row r="4023" spans="1:1">
      <c r="A4023" s="45"/>
    </row>
    <row r="4024" spans="1:1">
      <c r="A4024" s="45"/>
    </row>
    <row r="4025" spans="1:1">
      <c r="A4025" s="45"/>
    </row>
    <row r="4026" spans="1:1">
      <c r="A4026" s="45"/>
    </row>
    <row r="4027" spans="1:1">
      <c r="A4027" s="45"/>
    </row>
    <row r="4028" spans="1:1">
      <c r="A4028" s="45"/>
    </row>
    <row r="4029" spans="1:1">
      <c r="A4029" s="45"/>
    </row>
    <row r="4030" spans="1:1">
      <c r="A4030" s="45"/>
    </row>
    <row r="4031" spans="1:1">
      <c r="A4031" s="45"/>
    </row>
    <row r="4032" spans="1:1">
      <c r="A4032" s="45"/>
    </row>
    <row r="4033" spans="1:1">
      <c r="A4033" s="45"/>
    </row>
    <row r="4034" spans="1:1">
      <c r="A4034" s="45"/>
    </row>
    <row r="4035" spans="1:1">
      <c r="A4035" s="45"/>
    </row>
    <row r="4036" spans="1:1">
      <c r="A4036" s="45"/>
    </row>
    <row r="4037" spans="1:1">
      <c r="A4037" s="45"/>
    </row>
    <row r="4038" spans="1:1">
      <c r="A4038" s="45"/>
    </row>
    <row r="4039" spans="1:1">
      <c r="A4039" s="45"/>
    </row>
    <row r="4040" spans="1:1">
      <c r="A4040" s="45"/>
    </row>
    <row r="4041" spans="1:1">
      <c r="A4041" s="45"/>
    </row>
    <row r="4042" spans="1:1">
      <c r="A4042" s="45"/>
    </row>
    <row r="4043" spans="1:1">
      <c r="A4043" s="45"/>
    </row>
    <row r="4044" spans="1:1">
      <c r="A4044" s="45"/>
    </row>
    <row r="4045" spans="1:1">
      <c r="A4045" s="45"/>
    </row>
    <row r="4046" spans="1:1">
      <c r="A4046" s="45"/>
    </row>
    <row r="4047" spans="1:1">
      <c r="A4047" s="45"/>
    </row>
    <row r="4048" spans="1:1">
      <c r="A4048" s="45"/>
    </row>
    <row r="4049" spans="1:1">
      <c r="A4049" s="45"/>
    </row>
    <row r="4050" spans="1:1">
      <c r="A4050" s="45"/>
    </row>
    <row r="4051" spans="1:1">
      <c r="A4051" s="45"/>
    </row>
    <row r="4052" spans="1:1">
      <c r="A4052" s="45"/>
    </row>
    <row r="4053" spans="1:1">
      <c r="A4053" s="45"/>
    </row>
    <row r="4054" spans="1:1">
      <c r="A4054" s="45"/>
    </row>
    <row r="4055" spans="1:1">
      <c r="A4055" s="45"/>
    </row>
    <row r="4056" spans="1:1">
      <c r="A4056" s="45"/>
    </row>
    <row r="4057" spans="1:1">
      <c r="A4057" s="45"/>
    </row>
    <row r="4058" spans="1:1">
      <c r="A4058" s="45"/>
    </row>
    <row r="4059" spans="1:1">
      <c r="A4059" s="45"/>
    </row>
    <row r="4060" spans="1:1">
      <c r="A4060" s="45"/>
    </row>
    <row r="4061" spans="1:1">
      <c r="A4061" s="45"/>
    </row>
    <row r="4062" spans="1:1">
      <c r="A4062" s="45"/>
    </row>
    <row r="4063" spans="1:1">
      <c r="A4063" s="45"/>
    </row>
    <row r="4064" spans="1:1">
      <c r="A4064" s="45"/>
    </row>
    <row r="4065" spans="1:1">
      <c r="A4065" s="45"/>
    </row>
    <row r="4066" spans="1:1">
      <c r="A4066" s="45"/>
    </row>
    <row r="4067" spans="1:1">
      <c r="A4067" s="45"/>
    </row>
    <row r="4068" spans="1:1">
      <c r="A4068" s="45"/>
    </row>
    <row r="4069" spans="1:1">
      <c r="A4069" s="45"/>
    </row>
    <row r="4070" spans="1:1">
      <c r="A4070" s="45"/>
    </row>
    <row r="4071" spans="1:1">
      <c r="A4071" s="45"/>
    </row>
    <row r="4072" spans="1:1">
      <c r="A4072" s="45"/>
    </row>
    <row r="4073" spans="1:1">
      <c r="A4073" s="45"/>
    </row>
    <row r="4074" spans="1:1">
      <c r="A4074" s="45"/>
    </row>
    <row r="4075" spans="1:1">
      <c r="A4075" s="45"/>
    </row>
    <row r="4076" spans="1:1">
      <c r="A4076" s="45"/>
    </row>
    <row r="4077" spans="1:1">
      <c r="A4077" s="45"/>
    </row>
    <row r="4078" spans="1:1">
      <c r="A4078" s="45"/>
    </row>
    <row r="4079" spans="1:1">
      <c r="A4079" s="45"/>
    </row>
    <row r="4080" spans="1:1">
      <c r="A4080" s="45"/>
    </row>
    <row r="4081" spans="1:1">
      <c r="A4081" s="45"/>
    </row>
    <row r="4082" spans="1:1">
      <c r="A4082" s="45"/>
    </row>
    <row r="4083" spans="1:1">
      <c r="A4083" s="45"/>
    </row>
    <row r="4084" spans="1:1">
      <c r="A4084" s="45"/>
    </row>
    <row r="4085" spans="1:1">
      <c r="A4085" s="45"/>
    </row>
    <row r="4086" spans="1:1">
      <c r="A4086" s="45"/>
    </row>
    <row r="4087" spans="1:1">
      <c r="A4087" s="45"/>
    </row>
    <row r="4088" spans="1:1">
      <c r="A4088" s="45"/>
    </row>
    <row r="4089" spans="1:1">
      <c r="A4089" s="45"/>
    </row>
    <row r="4090" spans="1:1">
      <c r="A4090" s="45"/>
    </row>
    <row r="4091" spans="1:1">
      <c r="A4091" s="45"/>
    </row>
    <row r="4092" spans="1:1">
      <c r="A4092" s="45"/>
    </row>
    <row r="4093" spans="1:1">
      <c r="A4093" s="45"/>
    </row>
    <row r="4094" spans="1:1">
      <c r="A4094" s="45"/>
    </row>
    <row r="4095" spans="1:1">
      <c r="A4095" s="45"/>
    </row>
    <row r="4096" spans="1:1">
      <c r="A4096" s="45"/>
    </row>
    <row r="4097" spans="1:1">
      <c r="A4097" s="45"/>
    </row>
    <row r="4098" spans="1:1">
      <c r="A4098" s="45"/>
    </row>
    <row r="4099" spans="1:1">
      <c r="A4099" s="45"/>
    </row>
    <row r="4100" spans="1:1">
      <c r="A4100" s="45"/>
    </row>
    <row r="4101" spans="1:1">
      <c r="A4101" s="45"/>
    </row>
    <row r="4102" spans="1:1">
      <c r="A4102" s="45"/>
    </row>
    <row r="4103" spans="1:1">
      <c r="A4103" s="45"/>
    </row>
    <row r="4104" spans="1:1">
      <c r="A4104" s="45"/>
    </row>
    <row r="4105" spans="1:1">
      <c r="A4105" s="45"/>
    </row>
    <row r="4106" spans="1:1">
      <c r="A4106" s="45"/>
    </row>
    <row r="4107" spans="1:1">
      <c r="A4107" s="45"/>
    </row>
    <row r="4108" spans="1:1">
      <c r="A4108" s="45"/>
    </row>
    <row r="4109" spans="1:1">
      <c r="A4109" s="45"/>
    </row>
    <row r="4110" spans="1:1">
      <c r="A4110" s="45"/>
    </row>
    <row r="4111" spans="1:1">
      <c r="A4111" s="45"/>
    </row>
    <row r="4112" spans="1:1">
      <c r="A4112" s="45"/>
    </row>
    <row r="4113" spans="1:1">
      <c r="A4113" s="45"/>
    </row>
    <row r="4114" spans="1:1">
      <c r="A4114" s="45"/>
    </row>
    <row r="4115" spans="1:1">
      <c r="A4115" s="45"/>
    </row>
    <row r="4116" spans="1:1">
      <c r="A4116" s="45"/>
    </row>
    <row r="4117" spans="1:1">
      <c r="A4117" s="45"/>
    </row>
    <row r="4118" spans="1:1">
      <c r="A4118" s="45"/>
    </row>
    <row r="4119" spans="1:1">
      <c r="A4119" s="45"/>
    </row>
    <row r="4120" spans="1:1">
      <c r="A4120" s="45"/>
    </row>
    <row r="4121" spans="1:1">
      <c r="A4121" s="45"/>
    </row>
    <row r="4122" spans="1:1">
      <c r="A4122" s="45"/>
    </row>
    <row r="4123" spans="1:1">
      <c r="A4123" s="45"/>
    </row>
    <row r="4124" spans="1:1">
      <c r="A4124" s="45"/>
    </row>
    <row r="4125" spans="1:1">
      <c r="A4125" s="45"/>
    </row>
    <row r="4126" spans="1:1">
      <c r="A4126" s="45"/>
    </row>
    <row r="4127" spans="1:1">
      <c r="A4127" s="45"/>
    </row>
    <row r="4128" spans="1:1">
      <c r="A4128" s="45"/>
    </row>
    <row r="4129" spans="1:1">
      <c r="A4129" s="45"/>
    </row>
    <row r="4130" spans="1:1">
      <c r="A4130" s="45"/>
    </row>
    <row r="4131" spans="1:1">
      <c r="A4131" s="45"/>
    </row>
    <row r="4132" spans="1:1">
      <c r="A4132" s="45"/>
    </row>
    <row r="4133" spans="1:1">
      <c r="A4133" s="45"/>
    </row>
    <row r="4134" spans="1:1">
      <c r="A4134" s="45"/>
    </row>
    <row r="4135" spans="1:1">
      <c r="A4135" s="45"/>
    </row>
    <row r="4136" spans="1:1">
      <c r="A4136" s="45"/>
    </row>
    <row r="4137" spans="1:1">
      <c r="A4137" s="45"/>
    </row>
    <row r="4138" spans="1:1">
      <c r="A4138" s="45"/>
    </row>
    <row r="4139" spans="1:1">
      <c r="A4139" s="45"/>
    </row>
    <row r="4140" spans="1:1">
      <c r="A4140" s="45"/>
    </row>
    <row r="4141" spans="1:1">
      <c r="A4141" s="45"/>
    </row>
    <row r="4142" spans="1:1">
      <c r="A4142" s="45"/>
    </row>
    <row r="4143" spans="1:1">
      <c r="A4143" s="45"/>
    </row>
    <row r="4144" spans="1:1">
      <c r="A4144" s="45"/>
    </row>
    <row r="4145" spans="1:1">
      <c r="A4145" s="45"/>
    </row>
    <row r="4146" spans="1:1">
      <c r="A4146" s="45"/>
    </row>
    <row r="4147" spans="1:1">
      <c r="A4147" s="45"/>
    </row>
    <row r="4148" spans="1:1">
      <c r="A4148" s="45"/>
    </row>
    <row r="4149" spans="1:1">
      <c r="A4149" s="45"/>
    </row>
    <row r="4150" spans="1:1">
      <c r="A4150" s="45"/>
    </row>
    <row r="4151" spans="1:1">
      <c r="A4151" s="45"/>
    </row>
    <row r="4152" spans="1:1">
      <c r="A4152" s="45"/>
    </row>
    <row r="4153" spans="1:1">
      <c r="A4153" s="45"/>
    </row>
    <row r="4154" spans="1:1">
      <c r="A4154" s="45"/>
    </row>
    <row r="4155" spans="1:1">
      <c r="A4155" s="45"/>
    </row>
    <row r="4156" spans="1:1">
      <c r="A4156" s="45"/>
    </row>
    <row r="4157" spans="1:1">
      <c r="A4157" s="45"/>
    </row>
    <row r="4158" spans="1:1">
      <c r="A4158" s="45"/>
    </row>
    <row r="4159" spans="1:1">
      <c r="A4159" s="45"/>
    </row>
    <row r="4160" spans="1:1">
      <c r="A4160" s="45"/>
    </row>
    <row r="4161" spans="1:1">
      <c r="A4161" s="45"/>
    </row>
    <row r="4162" spans="1:1">
      <c r="A4162" s="45"/>
    </row>
    <row r="4163" spans="1:1">
      <c r="A4163" s="45"/>
    </row>
    <row r="4164" spans="1:1">
      <c r="A4164" s="45"/>
    </row>
    <row r="4165" spans="1:1">
      <c r="A4165" s="45"/>
    </row>
    <row r="4166" spans="1:1">
      <c r="A4166" s="45"/>
    </row>
    <row r="4167" spans="1:1">
      <c r="A4167" s="45"/>
    </row>
    <row r="4168" spans="1:1">
      <c r="A4168" s="45"/>
    </row>
    <row r="4169" spans="1:1">
      <c r="A4169" s="45"/>
    </row>
    <row r="4170" spans="1:1">
      <c r="A4170" s="45"/>
    </row>
    <row r="4171" spans="1:1">
      <c r="A4171" s="45"/>
    </row>
    <row r="4172" spans="1:1">
      <c r="A4172" s="45"/>
    </row>
    <row r="4173" spans="1:1">
      <c r="A4173" s="45"/>
    </row>
    <row r="4174" spans="1:1">
      <c r="A4174" s="45"/>
    </row>
    <row r="4175" spans="1:1">
      <c r="A4175" s="45"/>
    </row>
    <row r="4176" spans="1:1">
      <c r="A4176" s="45"/>
    </row>
    <row r="4177" spans="1:1">
      <c r="A4177" s="45"/>
    </row>
    <row r="4178" spans="1:1">
      <c r="A4178" s="45"/>
    </row>
    <row r="4179" spans="1:1">
      <c r="A4179" s="45"/>
    </row>
    <row r="4180" spans="1:1">
      <c r="A4180" s="45"/>
    </row>
    <row r="4181" spans="1:1">
      <c r="A4181" s="45"/>
    </row>
    <row r="4182" spans="1:1">
      <c r="A4182" s="45"/>
    </row>
    <row r="4183" spans="1:1">
      <c r="A4183" s="45"/>
    </row>
    <row r="4184" spans="1:1">
      <c r="A4184" s="45"/>
    </row>
    <row r="4185" spans="1:1">
      <c r="A4185" s="45"/>
    </row>
    <row r="4186" spans="1:1">
      <c r="A4186" s="45"/>
    </row>
    <row r="4187" spans="1:1">
      <c r="A4187" s="45"/>
    </row>
    <row r="4188" spans="1:1">
      <c r="A4188" s="45"/>
    </row>
    <row r="4189" spans="1:1">
      <c r="A4189" s="45"/>
    </row>
    <row r="4190" spans="1:1">
      <c r="A4190" s="45"/>
    </row>
    <row r="4191" spans="1:1">
      <c r="A4191" s="45"/>
    </row>
    <row r="4192" spans="1:1">
      <c r="A4192" s="45"/>
    </row>
    <row r="4193" spans="1:1">
      <c r="A4193" s="45"/>
    </row>
    <row r="4194" spans="1:1">
      <c r="A4194" s="45"/>
    </row>
    <row r="4195" spans="1:1">
      <c r="A4195" s="45"/>
    </row>
    <row r="4196" spans="1:1">
      <c r="A4196" s="45"/>
    </row>
    <row r="4197" spans="1:1">
      <c r="A4197" s="45"/>
    </row>
    <row r="4198" spans="1:1">
      <c r="A4198" s="45"/>
    </row>
    <row r="4199" spans="1:1">
      <c r="A4199" s="45"/>
    </row>
    <row r="4200" spans="1:1">
      <c r="A4200" s="45"/>
    </row>
    <row r="4201" spans="1:1">
      <c r="A4201" s="45"/>
    </row>
    <row r="4202" spans="1:1">
      <c r="A4202" s="45"/>
    </row>
    <row r="4203" spans="1:1">
      <c r="A4203" s="45"/>
    </row>
    <row r="4204" spans="1:1">
      <c r="A4204" s="45"/>
    </row>
    <row r="4205" spans="1:1">
      <c r="A4205" s="45"/>
    </row>
    <row r="4206" spans="1:1">
      <c r="A4206" s="45"/>
    </row>
    <row r="4207" spans="1:1">
      <c r="A4207" s="45"/>
    </row>
    <row r="4208" spans="1:1">
      <c r="A4208" s="45"/>
    </row>
    <row r="4209" spans="1:1">
      <c r="A4209" s="45"/>
    </row>
    <row r="4210" spans="1:1">
      <c r="A4210" s="45"/>
    </row>
    <row r="4211" spans="1:1">
      <c r="A4211" s="45"/>
    </row>
    <row r="4212" spans="1:1">
      <c r="A4212" s="45"/>
    </row>
    <row r="4213" spans="1:1">
      <c r="A4213" s="45"/>
    </row>
    <row r="4214" spans="1:1">
      <c r="A4214" s="45"/>
    </row>
    <row r="4215" spans="1:1">
      <c r="A4215" s="45"/>
    </row>
    <row r="4216" spans="1:1">
      <c r="A4216" s="45"/>
    </row>
    <row r="4217" spans="1:1">
      <c r="A4217" s="45"/>
    </row>
    <row r="4218" spans="1:1">
      <c r="A4218" s="45"/>
    </row>
    <row r="4219" spans="1:1">
      <c r="A4219" s="45"/>
    </row>
    <row r="4220" spans="1:1">
      <c r="A4220" s="45"/>
    </row>
    <row r="4221" spans="1:1">
      <c r="A4221" s="45"/>
    </row>
    <row r="4222" spans="1:1">
      <c r="A4222" s="45"/>
    </row>
    <row r="4223" spans="1:1">
      <c r="A4223" s="45"/>
    </row>
    <row r="4224" spans="1:1">
      <c r="A4224" s="45"/>
    </row>
    <row r="4225" spans="1:1">
      <c r="A4225" s="45"/>
    </row>
    <row r="4226" spans="1:1">
      <c r="A4226" s="45"/>
    </row>
    <row r="4227" spans="1:1">
      <c r="A4227" s="45"/>
    </row>
    <row r="4228" spans="1:1">
      <c r="A4228" s="45"/>
    </row>
    <row r="4229" spans="1:1">
      <c r="A4229" s="45"/>
    </row>
    <row r="4230" spans="1:1">
      <c r="A4230" s="45"/>
    </row>
    <row r="4231" spans="1:1">
      <c r="A4231" s="45"/>
    </row>
    <row r="4232" spans="1:1">
      <c r="A4232" s="45"/>
    </row>
    <row r="4233" spans="1:1">
      <c r="A4233" s="45"/>
    </row>
    <row r="4234" spans="1:1">
      <c r="A4234" s="45"/>
    </row>
    <row r="4235" spans="1:1">
      <c r="A4235" s="45"/>
    </row>
    <row r="4236" spans="1:1">
      <c r="A4236" s="45"/>
    </row>
    <row r="4237" spans="1:1">
      <c r="A4237" s="45"/>
    </row>
    <row r="4238" spans="1:1">
      <c r="A4238" s="45"/>
    </row>
    <row r="4239" spans="1:1">
      <c r="A4239" s="45"/>
    </row>
    <row r="4240" spans="1:1">
      <c r="A4240" s="45"/>
    </row>
    <row r="4241" spans="1:1">
      <c r="A4241" s="45"/>
    </row>
    <row r="4242" spans="1:1">
      <c r="A4242" s="45"/>
    </row>
    <row r="4243" spans="1:1">
      <c r="A4243" s="45"/>
    </row>
    <row r="4244" spans="1:1">
      <c r="A4244" s="45"/>
    </row>
    <row r="4245" spans="1:1">
      <c r="A4245" s="45"/>
    </row>
    <row r="4246" spans="1:1">
      <c r="A4246" s="45"/>
    </row>
    <row r="4247" spans="1:1">
      <c r="A4247" s="45"/>
    </row>
    <row r="4248" spans="1:1">
      <c r="A4248" s="45"/>
    </row>
    <row r="4249" spans="1:1">
      <c r="A4249" s="45"/>
    </row>
    <row r="4250" spans="1:1">
      <c r="A4250" s="45"/>
    </row>
    <row r="4251" spans="1:1">
      <c r="A4251" s="45"/>
    </row>
    <row r="4252" spans="1:1">
      <c r="A4252" s="45"/>
    </row>
    <row r="4253" spans="1:1">
      <c r="A4253" s="45"/>
    </row>
    <row r="4254" spans="1:1">
      <c r="A4254" s="45"/>
    </row>
    <row r="4255" spans="1:1">
      <c r="A4255" s="45"/>
    </row>
    <row r="4256" spans="1:1">
      <c r="A4256" s="45"/>
    </row>
    <row r="4257" spans="1:1">
      <c r="A4257" s="45"/>
    </row>
    <row r="4258" spans="1:1">
      <c r="A4258" s="45"/>
    </row>
    <row r="4259" spans="1:1">
      <c r="A4259" s="45"/>
    </row>
    <row r="4260" spans="1:1">
      <c r="A4260" s="45"/>
    </row>
    <row r="4261" spans="1:1">
      <c r="A4261" s="45"/>
    </row>
    <row r="4262" spans="1:1">
      <c r="A4262" s="45"/>
    </row>
    <row r="4263" spans="1:1">
      <c r="A4263" s="45"/>
    </row>
    <row r="4264" spans="1:1">
      <c r="A4264" s="45"/>
    </row>
    <row r="4265" spans="1:1">
      <c r="A4265" s="45"/>
    </row>
    <row r="4266" spans="1:1">
      <c r="A4266" s="45"/>
    </row>
    <row r="4267" spans="1:1">
      <c r="A4267" s="45"/>
    </row>
    <row r="4268" spans="1:1">
      <c r="A4268" s="45"/>
    </row>
    <row r="4269" spans="1:1">
      <c r="A4269" s="45"/>
    </row>
    <row r="4270" spans="1:1">
      <c r="A4270" s="45"/>
    </row>
    <row r="4271" spans="1:1">
      <c r="A4271" s="45"/>
    </row>
    <row r="4272" spans="1:1">
      <c r="A4272" s="45"/>
    </row>
    <row r="4273" spans="1:1">
      <c r="A4273" s="45"/>
    </row>
    <row r="4274" spans="1:1">
      <c r="A4274" s="45"/>
    </row>
    <row r="4275" spans="1:1">
      <c r="A4275" s="45"/>
    </row>
    <row r="4276" spans="1:1">
      <c r="A4276" s="45"/>
    </row>
    <row r="4277" spans="1:1">
      <c r="A4277" s="45"/>
    </row>
    <row r="4278" spans="1:1">
      <c r="A4278" s="45"/>
    </row>
    <row r="4279" spans="1:1">
      <c r="A4279" s="45"/>
    </row>
    <row r="4280" spans="1:1">
      <c r="A4280" s="45"/>
    </row>
    <row r="4281" spans="1:1">
      <c r="A4281" s="45"/>
    </row>
    <row r="4282" spans="1:1">
      <c r="A4282" s="45"/>
    </row>
    <row r="4283" spans="1:1">
      <c r="A4283" s="45"/>
    </row>
    <row r="4284" spans="1:1">
      <c r="A4284" s="45"/>
    </row>
    <row r="4285" spans="1:1">
      <c r="A4285" s="45"/>
    </row>
    <row r="4286" spans="1:1">
      <c r="A4286" s="45"/>
    </row>
    <row r="4287" spans="1:1">
      <c r="A4287" s="45"/>
    </row>
    <row r="4288" spans="1:1">
      <c r="A4288" s="45"/>
    </row>
    <row r="4289" spans="1:1">
      <c r="A4289" s="45"/>
    </row>
    <row r="4290" spans="1:1">
      <c r="A4290" s="45"/>
    </row>
    <row r="4291" spans="1:1">
      <c r="A4291" s="45"/>
    </row>
    <row r="4292" spans="1:1">
      <c r="A4292" s="45"/>
    </row>
    <row r="4293" spans="1:1">
      <c r="A4293" s="45"/>
    </row>
    <row r="4294" spans="1:1">
      <c r="A4294" s="45"/>
    </row>
    <row r="4295" spans="1:1">
      <c r="A4295" s="45"/>
    </row>
    <row r="4296" spans="1:1">
      <c r="A4296" s="45"/>
    </row>
    <row r="4297" spans="1:1">
      <c r="A4297" s="45"/>
    </row>
    <row r="4298" spans="1:1">
      <c r="A4298" s="45"/>
    </row>
    <row r="4299" spans="1:1">
      <c r="A4299" s="45"/>
    </row>
    <row r="4300" spans="1:1">
      <c r="A4300" s="45"/>
    </row>
    <row r="4301" spans="1:1">
      <c r="A4301" s="45"/>
    </row>
    <row r="4302" spans="1:1">
      <c r="A4302" s="45"/>
    </row>
    <row r="4303" spans="1:1">
      <c r="A4303" s="45"/>
    </row>
    <row r="4304" spans="1:1">
      <c r="A4304" s="45"/>
    </row>
    <row r="4305" spans="1:1">
      <c r="A4305" s="45"/>
    </row>
    <row r="4306" spans="1:1">
      <c r="A4306" s="45"/>
    </row>
    <row r="4307" spans="1:1">
      <c r="A4307" s="45"/>
    </row>
    <row r="4308" spans="1:1">
      <c r="A4308" s="45"/>
    </row>
    <row r="4309" spans="1:1">
      <c r="A4309" s="45"/>
    </row>
    <row r="4310" spans="1:1">
      <c r="A4310" s="45"/>
    </row>
    <row r="4311" spans="1:1">
      <c r="A4311" s="45"/>
    </row>
    <row r="4312" spans="1:1">
      <c r="A4312" s="45"/>
    </row>
    <row r="4313" spans="1:1">
      <c r="A4313" s="45"/>
    </row>
    <row r="4314" spans="1:1">
      <c r="A4314" s="45"/>
    </row>
    <row r="4315" spans="1:1">
      <c r="A4315" s="45"/>
    </row>
    <row r="4316" spans="1:1">
      <c r="A4316" s="45"/>
    </row>
    <row r="4317" spans="1:1">
      <c r="A4317" s="45"/>
    </row>
    <row r="4318" spans="1:1">
      <c r="A4318" s="45"/>
    </row>
    <row r="4319" spans="1:1">
      <c r="A4319" s="45"/>
    </row>
    <row r="4320" spans="1:1">
      <c r="A4320" s="45"/>
    </row>
    <row r="4321" spans="1:1">
      <c r="A4321" s="45"/>
    </row>
    <row r="4322" spans="1:1">
      <c r="A4322" s="45"/>
    </row>
    <row r="4323" spans="1:1">
      <c r="A4323" s="45"/>
    </row>
    <row r="4324" spans="1:1">
      <c r="A4324" s="45"/>
    </row>
    <row r="4325" spans="1:1">
      <c r="A4325" s="45"/>
    </row>
    <row r="4326" spans="1:1">
      <c r="A4326" s="45"/>
    </row>
    <row r="4327" spans="1:1">
      <c r="A4327" s="45"/>
    </row>
    <row r="4328" spans="1:1">
      <c r="A4328" s="45"/>
    </row>
    <row r="4329" spans="1:1">
      <c r="A4329" s="45"/>
    </row>
    <row r="4330" spans="1:1">
      <c r="A4330" s="45"/>
    </row>
    <row r="4331" spans="1:1">
      <c r="A4331" s="45"/>
    </row>
    <row r="4332" spans="1:1">
      <c r="A4332" s="45"/>
    </row>
    <row r="4333" spans="1:1">
      <c r="A4333" s="45"/>
    </row>
    <row r="4334" spans="1:1">
      <c r="A4334" s="45"/>
    </row>
    <row r="4335" spans="1:1">
      <c r="A4335" s="45"/>
    </row>
    <row r="4336" spans="1:1">
      <c r="A4336" s="45"/>
    </row>
    <row r="4337" spans="1:1">
      <c r="A4337" s="45"/>
    </row>
    <row r="4338" spans="1:1">
      <c r="A4338" s="45"/>
    </row>
    <row r="4339" spans="1:1">
      <c r="A4339" s="45"/>
    </row>
    <row r="4340" spans="1:1">
      <c r="A4340" s="45"/>
    </row>
    <row r="4341" spans="1:1">
      <c r="A4341" s="45"/>
    </row>
    <row r="4342" spans="1:1">
      <c r="A4342" s="45"/>
    </row>
    <row r="4343" spans="1:1">
      <c r="A4343" s="45"/>
    </row>
    <row r="4344" spans="1:1">
      <c r="A4344" s="45"/>
    </row>
    <row r="4345" spans="1:1">
      <c r="A4345" s="45"/>
    </row>
    <row r="4346" spans="1:1">
      <c r="A4346" s="45"/>
    </row>
    <row r="4347" spans="1:1">
      <c r="A4347" s="45"/>
    </row>
    <row r="4348" spans="1:1">
      <c r="A4348" s="45"/>
    </row>
    <row r="4349" spans="1:1">
      <c r="A4349" s="45"/>
    </row>
    <row r="4350" spans="1:1">
      <c r="A4350" s="45"/>
    </row>
    <row r="4351" spans="1:1">
      <c r="A4351" s="45"/>
    </row>
    <row r="4352" spans="1:1">
      <c r="A4352" s="45"/>
    </row>
    <row r="4353" spans="1:1">
      <c r="A4353" s="45"/>
    </row>
    <row r="4354" spans="1:1">
      <c r="A4354" s="45"/>
    </row>
    <row r="4355" spans="1:1">
      <c r="A4355" s="45"/>
    </row>
    <row r="4356" spans="1:1">
      <c r="A4356" s="45"/>
    </row>
    <row r="4357" spans="1:1">
      <c r="A4357" s="45"/>
    </row>
    <row r="4358" spans="1:1">
      <c r="A4358" s="45"/>
    </row>
    <row r="4359" spans="1:1">
      <c r="A4359" s="45"/>
    </row>
    <row r="4360" spans="1:1">
      <c r="A4360" s="45"/>
    </row>
    <row r="4361" spans="1:1">
      <c r="A4361" s="45"/>
    </row>
    <row r="4362" spans="1:1">
      <c r="A4362" s="45"/>
    </row>
    <row r="4363" spans="1:1">
      <c r="A4363" s="45"/>
    </row>
    <row r="4364" spans="1:1">
      <c r="A4364" s="45"/>
    </row>
    <row r="4365" spans="1:1">
      <c r="A4365" s="45"/>
    </row>
    <row r="4366" spans="1:1">
      <c r="A4366" s="45"/>
    </row>
    <row r="4367" spans="1:1">
      <c r="A4367" s="45"/>
    </row>
    <row r="4368" spans="1:1">
      <c r="A4368" s="45"/>
    </row>
    <row r="4369" spans="1:1">
      <c r="A4369" s="45"/>
    </row>
    <row r="4370" spans="1:1">
      <c r="A4370" s="45"/>
    </row>
    <row r="4371" spans="1:1">
      <c r="A4371" s="45"/>
    </row>
    <row r="4372" spans="1:1">
      <c r="A4372" s="45"/>
    </row>
    <row r="4373" spans="1:1">
      <c r="A4373" s="45"/>
    </row>
    <row r="4374" spans="1:1">
      <c r="A4374" s="45"/>
    </row>
    <row r="4375" spans="1:1">
      <c r="A4375" s="45"/>
    </row>
    <row r="4376" spans="1:1">
      <c r="A4376" s="45"/>
    </row>
    <row r="4377" spans="1:1">
      <c r="A4377" s="45"/>
    </row>
    <row r="4378" spans="1:1">
      <c r="A4378" s="45"/>
    </row>
    <row r="4379" spans="1:1">
      <c r="A4379" s="45"/>
    </row>
    <row r="4380" spans="1:1">
      <c r="A4380" s="45"/>
    </row>
    <row r="4381" spans="1:1">
      <c r="A4381" s="45"/>
    </row>
    <row r="4382" spans="1:1">
      <c r="A4382" s="45"/>
    </row>
    <row r="4383" spans="1:1">
      <c r="A4383" s="45"/>
    </row>
    <row r="4384" spans="1:1">
      <c r="A4384" s="45"/>
    </row>
    <row r="4385" spans="1:1">
      <c r="A4385" s="45"/>
    </row>
    <row r="4386" spans="1:1">
      <c r="A4386" s="45"/>
    </row>
    <row r="4387" spans="1:1">
      <c r="A4387" s="45"/>
    </row>
    <row r="4388" spans="1:1">
      <c r="A4388" s="45"/>
    </row>
    <row r="4389" spans="1:1">
      <c r="A4389" s="45"/>
    </row>
    <row r="4390" spans="1:1">
      <c r="A4390" s="45"/>
    </row>
    <row r="4391" spans="1:1">
      <c r="A4391" s="45"/>
    </row>
    <row r="4392" spans="1:1">
      <c r="A4392" s="45"/>
    </row>
    <row r="4393" spans="1:1">
      <c r="A4393" s="45"/>
    </row>
    <row r="4394" spans="1:1">
      <c r="A4394" s="45"/>
    </row>
    <row r="4395" spans="1:1">
      <c r="A4395" s="45"/>
    </row>
    <row r="4396" spans="1:1">
      <c r="A4396" s="45"/>
    </row>
    <row r="4397" spans="1:1">
      <c r="A4397" s="45"/>
    </row>
    <row r="4398" spans="1:1">
      <c r="A4398" s="45"/>
    </row>
    <row r="4399" spans="1:1">
      <c r="A4399" s="45"/>
    </row>
    <row r="4400" spans="1:1">
      <c r="A4400" s="45"/>
    </row>
    <row r="4401" spans="1:1">
      <c r="A4401" s="45"/>
    </row>
    <row r="4402" spans="1:1">
      <c r="A4402" s="45"/>
    </row>
    <row r="4403" spans="1:1">
      <c r="A4403" s="45"/>
    </row>
    <row r="4404" spans="1:1">
      <c r="A4404" s="45"/>
    </row>
    <row r="4405" spans="1:1">
      <c r="A4405" s="45"/>
    </row>
    <row r="4406" spans="1:1">
      <c r="A4406" s="45"/>
    </row>
    <row r="4407" spans="1:1">
      <c r="A4407" s="45"/>
    </row>
    <row r="4408" spans="1:1">
      <c r="A4408" s="45"/>
    </row>
    <row r="4409" spans="1:1">
      <c r="A4409" s="45"/>
    </row>
    <row r="4410" spans="1:1">
      <c r="A4410" s="45"/>
    </row>
    <row r="4411" spans="1:1">
      <c r="A4411" s="45"/>
    </row>
    <row r="4412" spans="1:1">
      <c r="A4412" s="45"/>
    </row>
    <row r="4413" spans="1:1">
      <c r="A4413" s="45"/>
    </row>
    <row r="4414" spans="1:1">
      <c r="A4414" s="45"/>
    </row>
    <row r="4415" spans="1:1">
      <c r="A4415" s="45"/>
    </row>
    <row r="4416" spans="1:1">
      <c r="A4416" s="45"/>
    </row>
    <row r="4417" spans="1:1">
      <c r="A4417" s="45"/>
    </row>
    <row r="4418" spans="1:1">
      <c r="A4418" s="45"/>
    </row>
    <row r="4419" spans="1:1">
      <c r="A4419" s="45"/>
    </row>
    <row r="4420" spans="1:1">
      <c r="A4420" s="45"/>
    </row>
    <row r="4421" spans="1:1">
      <c r="A4421" s="45"/>
    </row>
    <row r="4422" spans="1:1">
      <c r="A4422" s="45"/>
    </row>
    <row r="4423" spans="1:1">
      <c r="A4423" s="45"/>
    </row>
    <row r="4424" spans="1:1">
      <c r="A4424" s="45"/>
    </row>
    <row r="4425" spans="1:1">
      <c r="A4425" s="45"/>
    </row>
    <row r="4426" spans="1:1">
      <c r="A4426" s="45"/>
    </row>
    <row r="4427" spans="1:1">
      <c r="A4427" s="45"/>
    </row>
    <row r="4428" spans="1:1">
      <c r="A4428" s="45"/>
    </row>
    <row r="4429" spans="1:1">
      <c r="A4429" s="45"/>
    </row>
    <row r="4430" spans="1:1">
      <c r="A4430" s="45"/>
    </row>
    <row r="4431" spans="1:1">
      <c r="A4431" s="45"/>
    </row>
    <row r="4432" spans="1:1">
      <c r="A4432" s="45"/>
    </row>
    <row r="4433" spans="1:1">
      <c r="A4433" s="45"/>
    </row>
    <row r="4434" spans="1:1">
      <c r="A4434" s="45"/>
    </row>
    <row r="4435" spans="1:1">
      <c r="A4435" s="45"/>
    </row>
    <row r="4436" spans="1:1">
      <c r="A4436" s="45"/>
    </row>
    <row r="4437" spans="1:1">
      <c r="A4437" s="45"/>
    </row>
    <row r="4438" spans="1:1">
      <c r="A4438" s="45"/>
    </row>
    <row r="4439" spans="1:1">
      <c r="A4439" s="45"/>
    </row>
    <row r="4440" spans="1:1">
      <c r="A4440" s="45"/>
    </row>
    <row r="4441" spans="1:1">
      <c r="A4441" s="45"/>
    </row>
    <row r="4442" spans="1:1">
      <c r="A4442" s="45"/>
    </row>
    <row r="4443" spans="1:1">
      <c r="A4443" s="45"/>
    </row>
    <row r="4444" spans="1:1">
      <c r="A4444" s="45"/>
    </row>
    <row r="4445" spans="1:1">
      <c r="A4445" s="45"/>
    </row>
    <row r="4446" spans="1:1">
      <c r="A4446" s="45"/>
    </row>
    <row r="4447" spans="1:1">
      <c r="A4447" s="45"/>
    </row>
    <row r="4448" spans="1:1">
      <c r="A4448" s="45"/>
    </row>
    <row r="4449" spans="1:1">
      <c r="A4449" s="45"/>
    </row>
    <row r="4450" spans="1:1">
      <c r="A4450" s="45"/>
    </row>
    <row r="4451" spans="1:1">
      <c r="A4451" s="45"/>
    </row>
    <row r="4452" spans="1:1">
      <c r="A4452" s="45"/>
    </row>
    <row r="4453" spans="1:1">
      <c r="A4453" s="45"/>
    </row>
    <row r="4454" spans="1:1">
      <c r="A4454" s="45"/>
    </row>
    <row r="4455" spans="1:1">
      <c r="A4455" s="45"/>
    </row>
    <row r="4456" spans="1:1">
      <c r="A4456" s="45"/>
    </row>
    <row r="4457" spans="1:1">
      <c r="A4457" s="45"/>
    </row>
    <row r="4458" spans="1:1">
      <c r="A4458" s="45"/>
    </row>
    <row r="4459" spans="1:1">
      <c r="A4459" s="45"/>
    </row>
    <row r="4460" spans="1:1">
      <c r="A4460" s="45"/>
    </row>
    <row r="4461" spans="1:1">
      <c r="A4461" s="45"/>
    </row>
    <row r="4462" spans="1:1">
      <c r="A4462" s="45"/>
    </row>
    <row r="4463" spans="1:1">
      <c r="A4463" s="45"/>
    </row>
    <row r="4464" spans="1:1">
      <c r="A4464" s="45"/>
    </row>
    <row r="4465" spans="1:1">
      <c r="A4465" s="45"/>
    </row>
    <row r="4466" spans="1:1">
      <c r="A4466" s="45"/>
    </row>
    <row r="4467" spans="1:1">
      <c r="A4467" s="45"/>
    </row>
    <row r="4468" spans="1:1">
      <c r="A4468" s="45"/>
    </row>
    <row r="4469" spans="1:1">
      <c r="A4469" s="45"/>
    </row>
    <row r="4470" spans="1:1">
      <c r="A4470" s="45"/>
    </row>
    <row r="4471" spans="1:1">
      <c r="A4471" s="45"/>
    </row>
    <row r="4472" spans="1:1">
      <c r="A4472" s="45"/>
    </row>
    <row r="4473" spans="1:1">
      <c r="A4473" s="45"/>
    </row>
    <row r="4474" spans="1:1">
      <c r="A4474" s="45"/>
    </row>
    <row r="4475" spans="1:1">
      <c r="A4475" s="45"/>
    </row>
    <row r="4476" spans="1:1">
      <c r="A4476" s="45"/>
    </row>
    <row r="4477" spans="1:1">
      <c r="A4477" s="45"/>
    </row>
    <row r="4478" spans="1:1">
      <c r="A4478" s="45"/>
    </row>
    <row r="4479" spans="1:1">
      <c r="A4479" s="45"/>
    </row>
    <row r="4480" spans="1:1">
      <c r="A4480" s="45"/>
    </row>
    <row r="4481" spans="1:1">
      <c r="A4481" s="45"/>
    </row>
    <row r="4482" spans="1:1">
      <c r="A4482" s="45"/>
    </row>
    <row r="4483" spans="1:1">
      <c r="A4483" s="45"/>
    </row>
    <row r="4484" spans="1:1">
      <c r="A4484" s="45"/>
    </row>
    <row r="4485" spans="1:1">
      <c r="A4485" s="45"/>
    </row>
    <row r="4486" spans="1:1">
      <c r="A4486" s="45"/>
    </row>
    <row r="4487" spans="1:1">
      <c r="A4487" s="45"/>
    </row>
    <row r="4488" spans="1:1">
      <c r="A4488" s="45"/>
    </row>
    <row r="4489" spans="1:1">
      <c r="A4489" s="45"/>
    </row>
    <row r="4490" spans="1:1">
      <c r="A4490" s="45"/>
    </row>
    <row r="4491" spans="1:1">
      <c r="A4491" s="45"/>
    </row>
    <row r="4492" spans="1:1">
      <c r="A4492" s="45"/>
    </row>
    <row r="4493" spans="1:1">
      <c r="A4493" s="45"/>
    </row>
    <row r="4494" spans="1:1">
      <c r="A4494" s="45"/>
    </row>
    <row r="4495" spans="1:1">
      <c r="A4495" s="45"/>
    </row>
    <row r="4496" spans="1:1">
      <c r="A4496" s="45"/>
    </row>
    <row r="4497" spans="1:1">
      <c r="A4497" s="45"/>
    </row>
    <row r="4498" spans="1:1">
      <c r="A4498" s="45"/>
    </row>
    <row r="4499" spans="1:1">
      <c r="A4499" s="45"/>
    </row>
    <row r="4500" spans="1:1">
      <c r="A4500" s="45"/>
    </row>
    <row r="4501" spans="1:1">
      <c r="A4501" s="45"/>
    </row>
    <row r="4502" spans="1:1">
      <c r="A4502" s="45"/>
    </row>
    <row r="4503" spans="1:1">
      <c r="A4503" s="45"/>
    </row>
    <row r="4504" spans="1:1">
      <c r="A4504" s="45"/>
    </row>
    <row r="4505" spans="1:1">
      <c r="A4505" s="45"/>
    </row>
    <row r="4506" spans="1:1">
      <c r="A4506" s="45"/>
    </row>
    <row r="4507" spans="1:1">
      <c r="A4507" s="45"/>
    </row>
    <row r="4508" spans="1:1">
      <c r="A4508" s="45"/>
    </row>
    <row r="4509" spans="1:1">
      <c r="A4509" s="45"/>
    </row>
    <row r="4510" spans="1:1">
      <c r="A4510" s="45"/>
    </row>
    <row r="4511" spans="1:1">
      <c r="A4511" s="45"/>
    </row>
    <row r="4512" spans="1:1">
      <c r="A4512" s="45"/>
    </row>
    <row r="4513" spans="1:1">
      <c r="A4513" s="45"/>
    </row>
    <row r="4514" spans="1:1">
      <c r="A4514" s="45"/>
    </row>
    <row r="4515" spans="1:1">
      <c r="A4515" s="45"/>
    </row>
    <row r="4516" spans="1:1">
      <c r="A4516" s="45"/>
    </row>
    <row r="4517" spans="1:1">
      <c r="A4517" s="45"/>
    </row>
    <row r="4518" spans="1:1">
      <c r="A4518" s="45"/>
    </row>
    <row r="4519" spans="1:1">
      <c r="A4519" s="45"/>
    </row>
    <row r="4520" spans="1:1">
      <c r="A4520" s="45"/>
    </row>
    <row r="4521" spans="1:1">
      <c r="A4521" s="45"/>
    </row>
    <row r="4522" spans="1:1">
      <c r="A4522" s="45"/>
    </row>
    <row r="4523" spans="1:1">
      <c r="A4523" s="45"/>
    </row>
    <row r="4524" spans="1:1">
      <c r="A4524" s="45"/>
    </row>
    <row r="4525" spans="1:1">
      <c r="A4525" s="45"/>
    </row>
    <row r="4526" spans="1:1">
      <c r="A4526" s="45"/>
    </row>
    <row r="4527" spans="1:1">
      <c r="A4527" s="45"/>
    </row>
    <row r="4528" spans="1:1">
      <c r="A4528" s="45"/>
    </row>
    <row r="4529" spans="1:1">
      <c r="A4529" s="45"/>
    </row>
    <row r="4530" spans="1:1">
      <c r="A4530" s="45"/>
    </row>
    <row r="4531" spans="1:1">
      <c r="A4531" s="45"/>
    </row>
    <row r="4532" spans="1:1">
      <c r="A4532" s="45"/>
    </row>
    <row r="4533" spans="1:1">
      <c r="A4533" s="45"/>
    </row>
    <row r="4534" spans="1:1">
      <c r="A4534" s="45"/>
    </row>
    <row r="4535" spans="1:1">
      <c r="A4535" s="45"/>
    </row>
    <row r="4536" spans="1:1">
      <c r="A4536" s="45"/>
    </row>
    <row r="4537" spans="1:1">
      <c r="A4537" s="45"/>
    </row>
    <row r="4538" spans="1:1">
      <c r="A4538" s="45"/>
    </row>
    <row r="4539" spans="1:1">
      <c r="A4539" s="45"/>
    </row>
    <row r="4540" spans="1:1">
      <c r="A4540" s="45"/>
    </row>
    <row r="4541" spans="1:1">
      <c r="A4541" s="45"/>
    </row>
    <row r="4542" spans="1:1">
      <c r="A4542" s="45"/>
    </row>
    <row r="4543" spans="1:1">
      <c r="A4543" s="45"/>
    </row>
    <row r="4544" spans="1:1">
      <c r="A4544" s="45"/>
    </row>
    <row r="4545" spans="1:1">
      <c r="A4545" s="45"/>
    </row>
    <row r="4546" spans="1:1">
      <c r="A4546" s="45"/>
    </row>
    <row r="4547" spans="1:1">
      <c r="A4547" s="45"/>
    </row>
    <row r="4548" spans="1:1">
      <c r="A4548" s="45"/>
    </row>
    <row r="4549" spans="1:1">
      <c r="A4549" s="45"/>
    </row>
    <row r="4550" spans="1:1">
      <c r="A4550" s="45"/>
    </row>
    <row r="4551" spans="1:1">
      <c r="A4551" s="45"/>
    </row>
    <row r="4552" spans="1:1">
      <c r="A4552" s="45"/>
    </row>
    <row r="4553" spans="1:1">
      <c r="A4553" s="45"/>
    </row>
    <row r="4554" spans="1:1">
      <c r="A4554" s="45"/>
    </row>
    <row r="4555" spans="1:1">
      <c r="A4555" s="45"/>
    </row>
    <row r="4556" spans="1:1">
      <c r="A4556" s="45"/>
    </row>
    <row r="4557" spans="1:1">
      <c r="A4557" s="45"/>
    </row>
    <row r="4558" spans="1:1">
      <c r="A4558" s="45"/>
    </row>
    <row r="4559" spans="1:1">
      <c r="A4559" s="45"/>
    </row>
    <row r="4560" spans="1:1">
      <c r="A4560" s="45"/>
    </row>
    <row r="4561" spans="1:1">
      <c r="A4561" s="45"/>
    </row>
    <row r="4562" spans="1:1">
      <c r="A4562" s="45"/>
    </row>
    <row r="4563" spans="1:1">
      <c r="A4563" s="45"/>
    </row>
    <row r="4564" spans="1:1">
      <c r="A4564" s="45"/>
    </row>
    <row r="4565" spans="1:1">
      <c r="A4565" s="45"/>
    </row>
    <row r="4566" spans="1:1">
      <c r="A4566" s="45"/>
    </row>
    <row r="4567" spans="1:1">
      <c r="A4567" s="45"/>
    </row>
    <row r="4568" spans="1:1">
      <c r="A4568" s="45"/>
    </row>
    <row r="4569" spans="1:1">
      <c r="A4569" s="45"/>
    </row>
    <row r="4570" spans="1:1">
      <c r="A4570" s="45"/>
    </row>
    <row r="4571" spans="1:1">
      <c r="A4571" s="45"/>
    </row>
    <row r="4572" spans="1:1">
      <c r="A4572" s="45"/>
    </row>
    <row r="4573" spans="1:1">
      <c r="A4573" s="45"/>
    </row>
    <row r="4574" spans="1:1">
      <c r="A4574" s="45"/>
    </row>
    <row r="4575" spans="1:1">
      <c r="A4575" s="45"/>
    </row>
    <row r="4576" spans="1:1">
      <c r="A4576" s="45"/>
    </row>
    <row r="4577" spans="1:1">
      <c r="A4577" s="45"/>
    </row>
    <row r="4578" spans="1:1">
      <c r="A4578" s="45"/>
    </row>
    <row r="4579" spans="1:1">
      <c r="A4579" s="45"/>
    </row>
    <row r="4580" spans="1:1">
      <c r="A4580" s="45"/>
    </row>
    <row r="4581" spans="1:1">
      <c r="A4581" s="45"/>
    </row>
    <row r="4582" spans="1:1">
      <c r="A4582" s="45"/>
    </row>
    <row r="4583" spans="1:1">
      <c r="A4583" s="45"/>
    </row>
    <row r="4584" spans="1:1">
      <c r="A4584" s="45"/>
    </row>
    <row r="4585" spans="1:1">
      <c r="A4585" s="45"/>
    </row>
    <row r="4586" spans="1:1">
      <c r="A4586" s="45"/>
    </row>
    <row r="4587" spans="1:1">
      <c r="A4587" s="45"/>
    </row>
    <row r="4588" spans="1:1">
      <c r="A4588" s="45"/>
    </row>
    <row r="4589" spans="1:1">
      <c r="A4589" s="45"/>
    </row>
    <row r="4590" spans="1:1">
      <c r="A4590" s="45"/>
    </row>
    <row r="4591" spans="1:1">
      <c r="A4591" s="45"/>
    </row>
    <row r="4592" spans="1:1">
      <c r="A4592" s="45"/>
    </row>
    <row r="4593" spans="1:1">
      <c r="A4593" s="45"/>
    </row>
    <row r="4594" spans="1:1">
      <c r="A4594" s="45"/>
    </row>
    <row r="4595" spans="1:1">
      <c r="A4595" s="45"/>
    </row>
    <row r="4596" spans="1:1">
      <c r="A4596" s="45"/>
    </row>
    <row r="4597" spans="1:1">
      <c r="A4597" s="45"/>
    </row>
    <row r="4598" spans="1:1">
      <c r="A4598" s="45"/>
    </row>
    <row r="4599" spans="1:1">
      <c r="A4599" s="45"/>
    </row>
    <row r="4600" spans="1:1">
      <c r="A4600" s="45"/>
    </row>
    <row r="4601" spans="1:1">
      <c r="A4601" s="45"/>
    </row>
    <row r="4602" spans="1:1">
      <c r="A4602" s="45"/>
    </row>
    <row r="4603" spans="1:1">
      <c r="A4603" s="45"/>
    </row>
    <row r="4604" spans="1:1">
      <c r="A4604" s="45"/>
    </row>
    <row r="4605" spans="1:1">
      <c r="A4605" s="45"/>
    </row>
    <row r="4606" spans="1:1">
      <c r="A4606" s="45"/>
    </row>
    <row r="4607" spans="1:1">
      <c r="A4607" s="45"/>
    </row>
    <row r="4608" spans="1:1">
      <c r="A4608" s="45"/>
    </row>
    <row r="4609" spans="1:1">
      <c r="A4609" s="45"/>
    </row>
    <row r="4610" spans="1:1">
      <c r="A4610" s="45"/>
    </row>
    <row r="4611" spans="1:1">
      <c r="A4611" s="45"/>
    </row>
    <row r="4612" spans="1:1">
      <c r="A4612" s="45"/>
    </row>
    <row r="4613" spans="1:1">
      <c r="A4613" s="45"/>
    </row>
    <row r="4614" spans="1:1">
      <c r="A4614" s="45"/>
    </row>
    <row r="4615" spans="1:1">
      <c r="A4615" s="45"/>
    </row>
    <row r="4616" spans="1:1">
      <c r="A4616" s="45"/>
    </row>
    <row r="4617" spans="1:1">
      <c r="A4617" s="45"/>
    </row>
    <row r="4618" spans="1:1">
      <c r="A4618" s="45"/>
    </row>
    <row r="4619" spans="1:1">
      <c r="A4619" s="45"/>
    </row>
    <row r="4620" spans="1:1">
      <c r="A4620" s="45"/>
    </row>
    <row r="4621" spans="1:1">
      <c r="A4621" s="45"/>
    </row>
    <row r="4622" spans="1:1">
      <c r="A4622" s="45"/>
    </row>
    <row r="4623" spans="1:1">
      <c r="A4623" s="45"/>
    </row>
    <row r="4624" spans="1:1">
      <c r="A4624" s="45"/>
    </row>
    <row r="4625" spans="1:1">
      <c r="A4625" s="45"/>
    </row>
    <row r="4626" spans="1:1">
      <c r="A4626" s="45"/>
    </row>
    <row r="4627" spans="1:1">
      <c r="A4627" s="45"/>
    </row>
    <row r="4628" spans="1:1">
      <c r="A4628" s="45"/>
    </row>
    <row r="4629" spans="1:1">
      <c r="A4629" s="45"/>
    </row>
    <row r="4630" spans="1:1">
      <c r="A4630" s="45"/>
    </row>
    <row r="4631" spans="1:1">
      <c r="A4631" s="45"/>
    </row>
    <row r="4632" spans="1:1">
      <c r="A4632" s="45"/>
    </row>
    <row r="4633" spans="1:1">
      <c r="A4633" s="45"/>
    </row>
    <row r="4634" spans="1:1">
      <c r="A4634" s="45"/>
    </row>
    <row r="4635" spans="1:1">
      <c r="A4635" s="45"/>
    </row>
    <row r="4636" spans="1:1">
      <c r="A4636" s="45"/>
    </row>
    <row r="4637" spans="1:1">
      <c r="A4637" s="45"/>
    </row>
    <row r="4638" spans="1:1">
      <c r="A4638" s="45"/>
    </row>
    <row r="4639" spans="1:1">
      <c r="A4639" s="45"/>
    </row>
    <row r="4640" spans="1:1">
      <c r="A4640" s="45"/>
    </row>
    <row r="4641" spans="1:1">
      <c r="A4641" s="45"/>
    </row>
    <row r="4642" spans="1:1">
      <c r="A4642" s="45"/>
    </row>
    <row r="4643" spans="1:1">
      <c r="A4643" s="45"/>
    </row>
    <row r="4644" spans="1:1">
      <c r="A4644" s="45"/>
    </row>
    <row r="4645" spans="1:1">
      <c r="A4645" s="45"/>
    </row>
    <row r="4646" spans="1:1">
      <c r="A4646" s="45"/>
    </row>
    <row r="4647" spans="1:1">
      <c r="A4647" s="45"/>
    </row>
    <row r="4648" spans="1:1">
      <c r="A4648" s="45"/>
    </row>
    <row r="4649" spans="1:1">
      <c r="A4649" s="45"/>
    </row>
    <row r="4650" spans="1:1">
      <c r="A4650" s="45"/>
    </row>
    <row r="4651" spans="1:1">
      <c r="A4651" s="45"/>
    </row>
    <row r="4652" spans="1:1">
      <c r="A4652" s="45"/>
    </row>
    <row r="4653" spans="1:1">
      <c r="A4653" s="45"/>
    </row>
    <row r="4654" spans="1:1">
      <c r="A4654" s="45"/>
    </row>
    <row r="4655" spans="1:1">
      <c r="A4655" s="45"/>
    </row>
    <row r="4656" spans="1:1">
      <c r="A4656" s="45"/>
    </row>
    <row r="4657" spans="1:1">
      <c r="A4657" s="45"/>
    </row>
    <row r="4658" spans="1:1">
      <c r="A4658" s="45"/>
    </row>
    <row r="4659" spans="1:1">
      <c r="A4659" s="45"/>
    </row>
    <row r="4660" spans="1:1">
      <c r="A4660" s="45"/>
    </row>
    <row r="4661" spans="1:1">
      <c r="A4661" s="45"/>
    </row>
    <row r="4662" spans="1:1">
      <c r="A4662" s="45"/>
    </row>
    <row r="4663" spans="1:1">
      <c r="A4663" s="45"/>
    </row>
    <row r="4664" spans="1:1">
      <c r="A4664" s="45"/>
    </row>
    <row r="4665" spans="1:1">
      <c r="A4665" s="45"/>
    </row>
    <row r="4666" spans="1:1">
      <c r="A4666" s="45"/>
    </row>
    <row r="4667" spans="1:1">
      <c r="A4667" s="45"/>
    </row>
    <row r="4668" spans="1:1">
      <c r="A4668" s="45"/>
    </row>
    <row r="4669" spans="1:1">
      <c r="A4669" s="45"/>
    </row>
    <row r="4670" spans="1:1">
      <c r="A4670" s="45"/>
    </row>
    <row r="4671" spans="1:1">
      <c r="A4671" s="45"/>
    </row>
    <row r="4672" spans="1:1">
      <c r="A4672" s="45"/>
    </row>
    <row r="4673" spans="1:1">
      <c r="A4673" s="45"/>
    </row>
    <row r="4674" spans="1:1">
      <c r="A4674" s="45"/>
    </row>
    <row r="4675" spans="1:1">
      <c r="A4675" s="45"/>
    </row>
    <row r="4676" spans="1:1">
      <c r="A4676" s="45"/>
    </row>
    <row r="4677" spans="1:1">
      <c r="A4677" s="45"/>
    </row>
    <row r="4678" spans="1:1">
      <c r="A4678" s="45"/>
    </row>
    <row r="4679" spans="1:1">
      <c r="A4679" s="45"/>
    </row>
    <row r="4680" spans="1:1">
      <c r="A4680" s="45"/>
    </row>
    <row r="4681" spans="1:1">
      <c r="A4681" s="45"/>
    </row>
    <row r="4682" spans="1:1">
      <c r="A4682" s="45"/>
    </row>
    <row r="4683" spans="1:1">
      <c r="A4683" s="45"/>
    </row>
    <row r="4684" spans="1:1">
      <c r="A4684" s="45"/>
    </row>
    <row r="4685" spans="1:1">
      <c r="A4685" s="45"/>
    </row>
    <row r="4686" spans="1:1">
      <c r="A4686" s="45"/>
    </row>
    <row r="4687" spans="1:1">
      <c r="A4687" s="45"/>
    </row>
    <row r="4688" spans="1:1">
      <c r="A4688" s="45"/>
    </row>
    <row r="4689" spans="1:1">
      <c r="A4689" s="45"/>
    </row>
    <row r="4690" spans="1:1">
      <c r="A4690" s="45"/>
    </row>
    <row r="4691" spans="1:1">
      <c r="A4691" s="45"/>
    </row>
    <row r="4692" spans="1:1">
      <c r="A4692" s="45"/>
    </row>
    <row r="4693" spans="1:1">
      <c r="A4693" s="45"/>
    </row>
    <row r="4694" spans="1:1">
      <c r="A4694" s="45"/>
    </row>
    <row r="4695" spans="1:1">
      <c r="A4695" s="45"/>
    </row>
    <row r="4696" spans="1:1">
      <c r="A4696" s="45"/>
    </row>
    <row r="4697" spans="1:1">
      <c r="A4697" s="45"/>
    </row>
    <row r="4698" spans="1:1">
      <c r="A4698" s="45"/>
    </row>
    <row r="4699" spans="1:1">
      <c r="A4699" s="45"/>
    </row>
    <row r="4700" spans="1:1">
      <c r="A4700" s="45"/>
    </row>
    <row r="4701" spans="1:1">
      <c r="A4701" s="45"/>
    </row>
    <row r="4702" spans="1:1">
      <c r="A4702" s="45"/>
    </row>
    <row r="4703" spans="1:1">
      <c r="A4703" s="45"/>
    </row>
    <row r="4704" spans="1:1">
      <c r="A4704" s="45"/>
    </row>
    <row r="4705" spans="1:1">
      <c r="A4705" s="45"/>
    </row>
    <row r="4706" spans="1:1">
      <c r="A4706" s="45"/>
    </row>
    <row r="4707" spans="1:1">
      <c r="A4707" s="45"/>
    </row>
    <row r="4708" spans="1:1">
      <c r="A4708" s="45"/>
    </row>
    <row r="4709" spans="1:1">
      <c r="A4709" s="45"/>
    </row>
    <row r="4710" spans="1:1">
      <c r="A4710" s="45"/>
    </row>
    <row r="4711" spans="1:1">
      <c r="A4711" s="45"/>
    </row>
    <row r="4712" spans="1:1">
      <c r="A4712" s="45"/>
    </row>
    <row r="4713" spans="1:1">
      <c r="A4713" s="45"/>
    </row>
    <row r="4714" spans="1:1">
      <c r="A4714" s="45"/>
    </row>
    <row r="4715" spans="1:1">
      <c r="A4715" s="45"/>
    </row>
    <row r="4716" spans="1:1">
      <c r="A4716" s="45"/>
    </row>
    <row r="4717" spans="1:1">
      <c r="A4717" s="45"/>
    </row>
    <row r="4718" spans="1:1">
      <c r="A4718" s="45"/>
    </row>
    <row r="4719" spans="1:1">
      <c r="A4719" s="45"/>
    </row>
    <row r="4720" spans="1:1">
      <c r="A4720" s="45"/>
    </row>
    <row r="4721" spans="1:1">
      <c r="A4721" s="45"/>
    </row>
    <row r="4722" spans="1:1">
      <c r="A4722" s="45"/>
    </row>
    <row r="4723" spans="1:1">
      <c r="A4723" s="45"/>
    </row>
    <row r="4724" spans="1:1">
      <c r="A4724" s="45"/>
    </row>
    <row r="4725" spans="1:1">
      <c r="A4725" s="45"/>
    </row>
    <row r="4726" spans="1:1">
      <c r="A4726" s="45"/>
    </row>
    <row r="4727" spans="1:1">
      <c r="A4727" s="45"/>
    </row>
    <row r="4728" spans="1:1">
      <c r="A4728" s="45"/>
    </row>
    <row r="4729" spans="1:1">
      <c r="A4729" s="45"/>
    </row>
    <row r="4730" spans="1:1">
      <c r="A4730" s="45"/>
    </row>
    <row r="4731" spans="1:1">
      <c r="A4731" s="45"/>
    </row>
    <row r="4732" spans="1:1">
      <c r="A4732" s="45"/>
    </row>
    <row r="4733" spans="1:1">
      <c r="A4733" s="45"/>
    </row>
    <row r="4734" spans="1:1">
      <c r="A4734" s="45"/>
    </row>
    <row r="4735" spans="1:1">
      <c r="A4735" s="45"/>
    </row>
    <row r="4736" spans="1:1">
      <c r="A4736" s="45"/>
    </row>
    <row r="4737" spans="1:1">
      <c r="A4737" s="45"/>
    </row>
    <row r="4738" spans="1:1">
      <c r="A4738" s="45"/>
    </row>
    <row r="4739" spans="1:1">
      <c r="A4739" s="45"/>
    </row>
    <row r="4740" spans="1:1">
      <c r="A4740" s="45"/>
    </row>
    <row r="4741" spans="1:1">
      <c r="A4741" s="45"/>
    </row>
    <row r="4742" spans="1:1">
      <c r="A4742" s="45"/>
    </row>
    <row r="4743" spans="1:1">
      <c r="A4743" s="45"/>
    </row>
    <row r="4744" spans="1:1">
      <c r="A4744" s="45"/>
    </row>
    <row r="4745" spans="1:1">
      <c r="A4745" s="45"/>
    </row>
    <row r="4746" spans="1:1">
      <c r="A4746" s="45"/>
    </row>
    <row r="4747" spans="1:1">
      <c r="A4747" s="45"/>
    </row>
    <row r="4748" spans="1:1">
      <c r="A4748" s="45"/>
    </row>
    <row r="4749" spans="1:1">
      <c r="A4749" s="45"/>
    </row>
    <row r="4750" spans="1:1">
      <c r="A4750" s="45"/>
    </row>
    <row r="4751" spans="1:1">
      <c r="A4751" s="45"/>
    </row>
    <row r="4752" spans="1:1">
      <c r="A4752" s="45"/>
    </row>
    <row r="4753" spans="1:1">
      <c r="A4753" s="45"/>
    </row>
    <row r="4754" spans="1:1">
      <c r="A4754" s="45"/>
    </row>
    <row r="4755" spans="1:1">
      <c r="A4755" s="45"/>
    </row>
    <row r="4756" spans="1:1">
      <c r="A4756" s="45"/>
    </row>
    <row r="4757" spans="1:1">
      <c r="A4757" s="45"/>
    </row>
    <row r="4758" spans="1:1">
      <c r="A4758" s="45"/>
    </row>
    <row r="4759" spans="1:1">
      <c r="A4759" s="45"/>
    </row>
    <row r="4760" spans="1:1">
      <c r="A4760" s="45"/>
    </row>
    <row r="4761" spans="1:1">
      <c r="A4761" s="45"/>
    </row>
    <row r="4762" spans="1:1">
      <c r="A4762" s="45"/>
    </row>
    <row r="4763" spans="1:1">
      <c r="A4763" s="45"/>
    </row>
    <row r="4764" spans="1:1">
      <c r="A4764" s="45"/>
    </row>
    <row r="4765" spans="1:1">
      <c r="A4765" s="45"/>
    </row>
    <row r="4766" spans="1:1">
      <c r="A4766" s="45"/>
    </row>
    <row r="4767" spans="1:1">
      <c r="A4767" s="45"/>
    </row>
    <row r="4768" spans="1:1">
      <c r="A4768" s="45"/>
    </row>
    <row r="4769" spans="1:1">
      <c r="A4769" s="45"/>
    </row>
    <row r="4770" spans="1:1">
      <c r="A4770" s="45"/>
    </row>
    <row r="4771" spans="1:1">
      <c r="A4771" s="45"/>
    </row>
    <row r="4772" spans="1:1">
      <c r="A4772" s="45"/>
    </row>
    <row r="4773" spans="1:1">
      <c r="A4773" s="45"/>
    </row>
    <row r="4774" spans="1:1">
      <c r="A4774" s="45"/>
    </row>
    <row r="4775" spans="1:1">
      <c r="A4775" s="45"/>
    </row>
    <row r="4776" spans="1:1">
      <c r="A4776" s="45"/>
    </row>
    <row r="4777" spans="1:1">
      <c r="A4777" s="45"/>
    </row>
    <row r="4778" spans="1:1">
      <c r="A4778" s="45"/>
    </row>
    <row r="4779" spans="1:1">
      <c r="A4779" s="45"/>
    </row>
    <row r="4780" spans="1:1">
      <c r="A4780" s="45"/>
    </row>
    <row r="4781" spans="1:1">
      <c r="A4781" s="45"/>
    </row>
    <row r="4782" spans="1:1">
      <c r="A4782" s="45"/>
    </row>
    <row r="4783" spans="1:1">
      <c r="A4783" s="45"/>
    </row>
    <row r="4784" spans="1:1">
      <c r="A4784" s="45"/>
    </row>
    <row r="4785" spans="1:1">
      <c r="A4785" s="45"/>
    </row>
    <row r="4786" spans="1:1">
      <c r="A4786" s="45"/>
    </row>
    <row r="4787" spans="1:1">
      <c r="A4787" s="45"/>
    </row>
    <row r="4788" spans="1:1">
      <c r="A4788" s="45"/>
    </row>
    <row r="4789" spans="1:1">
      <c r="A4789" s="45"/>
    </row>
    <row r="4790" spans="1:1">
      <c r="A4790" s="45"/>
    </row>
    <row r="4791" spans="1:1">
      <c r="A4791" s="45"/>
    </row>
    <row r="4792" spans="1:1">
      <c r="A4792" s="45"/>
    </row>
    <row r="4793" spans="1:1">
      <c r="A4793" s="45"/>
    </row>
    <row r="4794" spans="1:1">
      <c r="A4794" s="45"/>
    </row>
    <row r="4795" spans="1:1">
      <c r="A4795" s="45"/>
    </row>
    <row r="4796" spans="1:1">
      <c r="A4796" s="45"/>
    </row>
    <row r="4797" spans="1:1">
      <c r="A4797" s="45"/>
    </row>
    <row r="4798" spans="1:1">
      <c r="A4798" s="45"/>
    </row>
    <row r="4799" spans="1:1">
      <c r="A4799" s="45"/>
    </row>
    <row r="4800" spans="1:1">
      <c r="A4800" s="45"/>
    </row>
    <row r="4801" spans="1:1">
      <c r="A4801" s="45"/>
    </row>
    <row r="4802" spans="1:1">
      <c r="A4802" s="45"/>
    </row>
    <row r="4803" spans="1:1">
      <c r="A4803" s="45"/>
    </row>
    <row r="4804" spans="1:1">
      <c r="A4804" s="45"/>
    </row>
    <row r="4805" spans="1:1">
      <c r="A4805" s="45"/>
    </row>
    <row r="4806" spans="1:1">
      <c r="A4806" s="45"/>
    </row>
    <row r="4807" spans="1:1">
      <c r="A4807" s="45"/>
    </row>
    <row r="4808" spans="1:1">
      <c r="A4808" s="45"/>
    </row>
    <row r="4809" spans="1:1">
      <c r="A4809" s="45"/>
    </row>
    <row r="4810" spans="1:1">
      <c r="A4810" s="45"/>
    </row>
    <row r="4811" spans="1:1">
      <c r="A4811" s="45"/>
    </row>
    <row r="4812" spans="1:1">
      <c r="A4812" s="45"/>
    </row>
    <row r="4813" spans="1:1">
      <c r="A4813" s="45"/>
    </row>
    <row r="4814" spans="1:1">
      <c r="A4814" s="45"/>
    </row>
    <row r="4815" spans="1:1">
      <c r="A4815" s="45"/>
    </row>
    <row r="4816" spans="1:1">
      <c r="A4816" s="45"/>
    </row>
    <row r="4817" spans="1:1">
      <c r="A4817" s="45"/>
    </row>
    <row r="4818" spans="1:1">
      <c r="A4818" s="45"/>
    </row>
    <row r="4819" spans="1:1">
      <c r="A4819" s="45"/>
    </row>
    <row r="4820" spans="1:1">
      <c r="A4820" s="45"/>
    </row>
    <row r="4821" spans="1:1">
      <c r="A4821" s="45"/>
    </row>
    <row r="4822" spans="1:1">
      <c r="A4822" s="45"/>
    </row>
    <row r="4823" spans="1:1">
      <c r="A4823" s="45"/>
    </row>
    <row r="4824" spans="1:1">
      <c r="A4824" s="45"/>
    </row>
    <row r="4825" spans="1:1">
      <c r="A4825" s="45"/>
    </row>
    <row r="4826" spans="1:1">
      <c r="A4826" s="45"/>
    </row>
    <row r="4827" spans="1:1">
      <c r="A4827" s="45"/>
    </row>
    <row r="4828" spans="1:1">
      <c r="A4828" s="45"/>
    </row>
    <row r="4829" spans="1:1">
      <c r="A4829" s="45"/>
    </row>
    <row r="4830" spans="1:1">
      <c r="A4830" s="45"/>
    </row>
    <row r="4831" spans="1:1">
      <c r="A4831" s="45"/>
    </row>
    <row r="4832" spans="1:1">
      <c r="A4832" s="45"/>
    </row>
    <row r="4833" spans="1:1">
      <c r="A4833" s="45"/>
    </row>
    <row r="4834" spans="1:1">
      <c r="A4834" s="45"/>
    </row>
    <row r="4835" spans="1:1">
      <c r="A4835" s="45"/>
    </row>
    <row r="4836" spans="1:1">
      <c r="A4836" s="45"/>
    </row>
    <row r="4837" spans="1:1">
      <c r="A4837" s="45"/>
    </row>
    <row r="4838" spans="1:1">
      <c r="A4838" s="45"/>
    </row>
    <row r="4839" spans="1:1">
      <c r="A4839" s="45"/>
    </row>
    <row r="4840" spans="1:1">
      <c r="A4840" s="45"/>
    </row>
    <row r="4841" spans="1:1">
      <c r="A4841" s="45"/>
    </row>
    <row r="4842" spans="1:1">
      <c r="A4842" s="45"/>
    </row>
    <row r="4843" spans="1:1">
      <c r="A4843" s="45"/>
    </row>
    <row r="4844" spans="1:1">
      <c r="A4844" s="45"/>
    </row>
    <row r="4845" spans="1:1">
      <c r="A4845" s="45"/>
    </row>
    <row r="4846" spans="1:1">
      <c r="A4846" s="45"/>
    </row>
    <row r="4847" spans="1:1">
      <c r="A4847" s="45"/>
    </row>
    <row r="4848" spans="1:1">
      <c r="A4848" s="45"/>
    </row>
    <row r="4849" spans="1:1">
      <c r="A4849" s="45"/>
    </row>
    <row r="4850" spans="1:1">
      <c r="A4850" s="45"/>
    </row>
    <row r="4851" spans="1:1">
      <c r="A4851" s="45"/>
    </row>
    <row r="4852" spans="1:1">
      <c r="A4852" s="45"/>
    </row>
    <row r="4853" spans="1:1">
      <c r="A4853" s="45"/>
    </row>
    <row r="4854" spans="1:1">
      <c r="A4854" s="45"/>
    </row>
    <row r="4855" spans="1:1">
      <c r="A4855" s="45"/>
    </row>
    <row r="4856" spans="1:1">
      <c r="A4856" s="45"/>
    </row>
    <row r="4857" spans="1:1">
      <c r="A4857" s="45"/>
    </row>
    <row r="4858" spans="1:1">
      <c r="A4858" s="45"/>
    </row>
    <row r="4859" spans="1:1">
      <c r="A4859" s="45"/>
    </row>
    <row r="4860" spans="1:1">
      <c r="A4860" s="45"/>
    </row>
    <row r="4861" spans="1:1">
      <c r="A4861" s="45"/>
    </row>
    <row r="4862" spans="1:1">
      <c r="A4862" s="45"/>
    </row>
    <row r="4863" spans="1:1">
      <c r="A4863" s="45"/>
    </row>
    <row r="4864" spans="1:1">
      <c r="A4864" s="45"/>
    </row>
    <row r="4865" spans="1:1">
      <c r="A4865" s="45"/>
    </row>
    <row r="4866" spans="1:1">
      <c r="A4866" s="45"/>
    </row>
    <row r="4867" spans="1:1">
      <c r="A4867" s="45"/>
    </row>
    <row r="4868" spans="1:1">
      <c r="A4868" s="45"/>
    </row>
    <row r="4869" spans="1:1">
      <c r="A4869" s="45"/>
    </row>
    <row r="4870" spans="1:1">
      <c r="A4870" s="45"/>
    </row>
    <row r="4871" spans="1:1">
      <c r="A4871" s="45"/>
    </row>
    <row r="4872" spans="1:1">
      <c r="A4872" s="45"/>
    </row>
    <row r="4873" spans="1:1">
      <c r="A4873" s="45"/>
    </row>
    <row r="4874" spans="1:1">
      <c r="A4874" s="45"/>
    </row>
    <row r="4875" spans="1:1">
      <c r="A4875" s="45"/>
    </row>
    <row r="4876" spans="1:1">
      <c r="A4876" s="45"/>
    </row>
    <row r="4877" spans="1:1">
      <c r="A4877" s="45"/>
    </row>
    <row r="4878" spans="1:1">
      <c r="A4878" s="45"/>
    </row>
    <row r="4879" spans="1:1">
      <c r="A4879" s="45"/>
    </row>
    <row r="4880" spans="1:1">
      <c r="A4880" s="45"/>
    </row>
    <row r="4881" spans="1:1">
      <c r="A4881" s="45"/>
    </row>
    <row r="4882" spans="1:1">
      <c r="A4882" s="45"/>
    </row>
    <row r="4883" spans="1:1">
      <c r="A4883" s="45"/>
    </row>
    <row r="4884" spans="1:1">
      <c r="A4884" s="45"/>
    </row>
    <row r="4885" spans="1:1">
      <c r="A4885" s="45"/>
    </row>
    <row r="4886" spans="1:1">
      <c r="A4886" s="45"/>
    </row>
    <row r="4887" spans="1:1">
      <c r="A4887" s="45"/>
    </row>
    <row r="4888" spans="1:1">
      <c r="A4888" s="45"/>
    </row>
    <row r="4889" spans="1:1">
      <c r="A4889" s="45"/>
    </row>
    <row r="4890" spans="1:1">
      <c r="A4890" s="45"/>
    </row>
    <row r="4891" spans="1:1">
      <c r="A4891" s="45"/>
    </row>
    <row r="4892" spans="1:1">
      <c r="A4892" s="45"/>
    </row>
    <row r="4893" spans="1:1">
      <c r="A4893" s="45"/>
    </row>
    <row r="4894" spans="1:1">
      <c r="A4894" s="45"/>
    </row>
    <row r="4895" spans="1:1">
      <c r="A4895" s="45"/>
    </row>
    <row r="4896" spans="1:1">
      <c r="A4896" s="45"/>
    </row>
    <row r="4897" spans="1:1">
      <c r="A4897" s="45"/>
    </row>
    <row r="4898" spans="1:1">
      <c r="A4898" s="45"/>
    </row>
    <row r="4899" spans="1:1">
      <c r="A4899" s="45"/>
    </row>
    <row r="4900" spans="1:1">
      <c r="A4900" s="45"/>
    </row>
    <row r="4901" spans="1:1">
      <c r="A4901" s="45"/>
    </row>
    <row r="4902" spans="1:1">
      <c r="A4902" s="45"/>
    </row>
    <row r="4903" spans="1:1">
      <c r="A4903" s="45"/>
    </row>
    <row r="4904" spans="1:1">
      <c r="A4904" s="45"/>
    </row>
    <row r="4905" spans="1:1">
      <c r="A4905" s="45"/>
    </row>
    <row r="4906" spans="1:1">
      <c r="A4906" s="45"/>
    </row>
    <row r="4907" spans="1:1">
      <c r="A4907" s="45"/>
    </row>
    <row r="4908" spans="1:1">
      <c r="A4908" s="45"/>
    </row>
    <row r="4909" spans="1:1">
      <c r="A4909" s="45"/>
    </row>
    <row r="4910" spans="1:1">
      <c r="A4910" s="45"/>
    </row>
    <row r="4911" spans="1:1">
      <c r="A4911" s="45"/>
    </row>
    <row r="4912" spans="1:1">
      <c r="A4912" s="45"/>
    </row>
    <row r="4913" spans="1:1">
      <c r="A4913" s="45"/>
    </row>
    <row r="4914" spans="1:1">
      <c r="A4914" s="45"/>
    </row>
    <row r="4915" spans="1:1">
      <c r="A4915" s="45"/>
    </row>
    <row r="4916" spans="1:1">
      <c r="A4916" s="45"/>
    </row>
    <row r="4917" spans="1:1">
      <c r="A4917" s="45"/>
    </row>
    <row r="4918" spans="1:1">
      <c r="A4918" s="45"/>
    </row>
    <row r="4919" spans="1:1">
      <c r="A4919" s="45"/>
    </row>
    <row r="4920" spans="1:1">
      <c r="A4920" s="45"/>
    </row>
    <row r="4921" spans="1:1">
      <c r="A4921" s="45"/>
    </row>
    <row r="4922" spans="1:1">
      <c r="A4922" s="45"/>
    </row>
    <row r="4923" spans="1:1">
      <c r="A4923" s="45"/>
    </row>
    <row r="4924" spans="1:1">
      <c r="A4924" s="45"/>
    </row>
    <row r="4925" spans="1:1">
      <c r="A4925" s="45"/>
    </row>
    <row r="4926" spans="1:1">
      <c r="A4926" s="45"/>
    </row>
    <row r="4927" spans="1:1">
      <c r="A4927" s="45"/>
    </row>
    <row r="4928" spans="1:1">
      <c r="A4928" s="45"/>
    </row>
    <row r="4929" spans="1:1">
      <c r="A4929" s="45"/>
    </row>
    <row r="4930" spans="1:1">
      <c r="A4930" s="45"/>
    </row>
    <row r="4931" spans="1:1">
      <c r="A4931" s="45"/>
    </row>
    <row r="4932" spans="1:1">
      <c r="A4932" s="45"/>
    </row>
    <row r="4933" spans="1:1">
      <c r="A4933" s="45"/>
    </row>
    <row r="4934" spans="1:1">
      <c r="A4934" s="45"/>
    </row>
    <row r="4935" spans="1:1">
      <c r="A4935" s="45"/>
    </row>
    <row r="4936" spans="1:1">
      <c r="A4936" s="45"/>
    </row>
    <row r="4937" spans="1:1">
      <c r="A4937" s="45"/>
    </row>
    <row r="4938" spans="1:1">
      <c r="A4938" s="45"/>
    </row>
    <row r="4939" spans="1:1">
      <c r="A4939" s="45"/>
    </row>
    <row r="4940" spans="1:1">
      <c r="A4940" s="45"/>
    </row>
    <row r="4941" spans="1:1">
      <c r="A4941" s="45"/>
    </row>
    <row r="4942" spans="1:1">
      <c r="A4942" s="45"/>
    </row>
    <row r="4943" spans="1:1">
      <c r="A4943" s="45"/>
    </row>
    <row r="4944" spans="1:1">
      <c r="A4944" s="45"/>
    </row>
    <row r="4945" spans="1:1">
      <c r="A4945" s="45"/>
    </row>
    <row r="4946" spans="1:1">
      <c r="A4946" s="45"/>
    </row>
    <row r="4947" spans="1:1">
      <c r="A4947" s="45"/>
    </row>
    <row r="4948" spans="1:1">
      <c r="A4948" s="45"/>
    </row>
    <row r="4949" spans="1:1">
      <c r="A4949" s="45"/>
    </row>
    <row r="4950" spans="1:1">
      <c r="A4950" s="45"/>
    </row>
    <row r="4951" spans="1:1">
      <c r="A4951" s="45"/>
    </row>
    <row r="4952" spans="1:1">
      <c r="A4952" s="45"/>
    </row>
    <row r="4953" spans="1:1">
      <c r="A4953" s="45"/>
    </row>
    <row r="4954" spans="1:1">
      <c r="A4954" s="45"/>
    </row>
    <row r="4955" spans="1:1">
      <c r="A4955" s="45"/>
    </row>
    <row r="4956" spans="1:1">
      <c r="A4956" s="45"/>
    </row>
    <row r="4957" spans="1:1">
      <c r="A4957" s="45"/>
    </row>
    <row r="4958" spans="1:1">
      <c r="A4958" s="45"/>
    </row>
    <row r="4959" spans="1:1">
      <c r="A4959" s="45"/>
    </row>
    <row r="4960" spans="1:1">
      <c r="A4960" s="45"/>
    </row>
    <row r="4961" spans="1:1">
      <c r="A4961" s="45"/>
    </row>
    <row r="4962" spans="1:1">
      <c r="A4962" s="45"/>
    </row>
    <row r="4963" spans="1:1">
      <c r="A4963" s="45"/>
    </row>
    <row r="4964" spans="1:1">
      <c r="A4964" s="45"/>
    </row>
    <row r="4965" spans="1:1">
      <c r="A4965" s="45"/>
    </row>
    <row r="4966" spans="1:1">
      <c r="A4966" s="45"/>
    </row>
    <row r="4967" spans="1:1">
      <c r="A4967" s="45"/>
    </row>
    <row r="4968" spans="1:1">
      <c r="A4968" s="45"/>
    </row>
    <row r="4969" spans="1:1">
      <c r="A4969" s="45"/>
    </row>
    <row r="4970" spans="1:1">
      <c r="A4970" s="45"/>
    </row>
    <row r="4971" spans="1:1">
      <c r="A4971" s="45"/>
    </row>
    <row r="4972" spans="1:1">
      <c r="A4972" s="45"/>
    </row>
    <row r="4973" spans="1:1">
      <c r="A4973" s="45"/>
    </row>
    <row r="4974" spans="1:1">
      <c r="A4974" s="45"/>
    </row>
    <row r="4975" spans="1:1">
      <c r="A4975" s="45"/>
    </row>
    <row r="4976" spans="1:1">
      <c r="A4976" s="45"/>
    </row>
    <row r="4977" spans="1:1">
      <c r="A4977" s="45"/>
    </row>
    <row r="4978" spans="1:1">
      <c r="A4978" s="45"/>
    </row>
    <row r="4979" spans="1:1">
      <c r="A4979" s="45"/>
    </row>
    <row r="4980" spans="1:1">
      <c r="A4980" s="45"/>
    </row>
    <row r="4981" spans="1:1">
      <c r="A4981" s="45"/>
    </row>
    <row r="4982" spans="1:1">
      <c r="A4982" s="45"/>
    </row>
    <row r="4983" spans="1:1">
      <c r="A4983" s="45"/>
    </row>
    <row r="4984" spans="1:1">
      <c r="A4984" s="45"/>
    </row>
    <row r="4985" spans="1:1">
      <c r="A4985" s="45"/>
    </row>
    <row r="4986" spans="1:1">
      <c r="A4986" s="45"/>
    </row>
    <row r="4987" spans="1:1">
      <c r="A4987" s="45"/>
    </row>
    <row r="4988" spans="1:1">
      <c r="A4988" s="45"/>
    </row>
    <row r="4989" spans="1:1">
      <c r="A4989" s="45"/>
    </row>
    <row r="4990" spans="1:1">
      <c r="A4990" s="45"/>
    </row>
    <row r="4991" spans="1:1">
      <c r="A4991" s="45"/>
    </row>
    <row r="4992" spans="1:1">
      <c r="A4992" s="45"/>
    </row>
    <row r="4993" spans="1:1">
      <c r="A4993" s="45"/>
    </row>
    <row r="4994" spans="1:1">
      <c r="A4994" s="45"/>
    </row>
    <row r="4995" spans="1:1">
      <c r="A4995" s="45"/>
    </row>
    <row r="4996" spans="1:1">
      <c r="A4996" s="45"/>
    </row>
    <row r="4997" spans="1:1">
      <c r="A4997" s="45"/>
    </row>
    <row r="4998" spans="1:1">
      <c r="A4998" s="45"/>
    </row>
    <row r="4999" spans="1:1">
      <c r="A4999" s="45"/>
    </row>
    <row r="5000" spans="1:1">
      <c r="A5000" s="45"/>
    </row>
    <row r="5001" spans="1:1">
      <c r="A5001" s="45"/>
    </row>
    <row r="5002" spans="1:1">
      <c r="A5002" s="45"/>
    </row>
    <row r="5003" spans="1:1">
      <c r="A5003" s="45"/>
    </row>
    <row r="5004" spans="1:1">
      <c r="A5004" s="45"/>
    </row>
    <row r="5005" spans="1:1">
      <c r="A5005" s="45"/>
    </row>
    <row r="5006" spans="1:1">
      <c r="A5006" s="45"/>
    </row>
    <row r="5007" spans="1:1">
      <c r="A5007" s="45"/>
    </row>
    <row r="5008" spans="1:1">
      <c r="A5008" s="45"/>
    </row>
    <row r="5009" spans="1:1">
      <c r="A5009" s="45"/>
    </row>
    <row r="5010" spans="1:1">
      <c r="A5010" s="45"/>
    </row>
    <row r="5011" spans="1:1">
      <c r="A5011" s="45"/>
    </row>
    <row r="5012" spans="1:1">
      <c r="A5012" s="45"/>
    </row>
    <row r="5013" spans="1:1">
      <c r="A5013" s="45"/>
    </row>
    <row r="5014" spans="1:1">
      <c r="A5014" s="45"/>
    </row>
    <row r="5015" spans="1:1">
      <c r="A5015" s="45"/>
    </row>
    <row r="5016" spans="1:1">
      <c r="A5016" s="45"/>
    </row>
    <row r="5017" spans="1:1">
      <c r="A5017" s="45"/>
    </row>
    <row r="5018" spans="1:1">
      <c r="A5018" s="45"/>
    </row>
    <row r="5019" spans="1:1">
      <c r="A5019" s="45"/>
    </row>
    <row r="5020" spans="1:1">
      <c r="A5020" s="45"/>
    </row>
    <row r="5021" spans="1:1">
      <c r="A5021" s="45"/>
    </row>
    <row r="5022" spans="1:1">
      <c r="A5022" s="45"/>
    </row>
    <row r="5023" spans="1:1">
      <c r="A5023" s="45"/>
    </row>
    <row r="5024" spans="1:1">
      <c r="A5024" s="45"/>
    </row>
    <row r="5025" spans="1:1">
      <c r="A5025" s="45"/>
    </row>
    <row r="5026" spans="1:1">
      <c r="A5026" s="45"/>
    </row>
    <row r="5027" spans="1:1">
      <c r="A5027" s="45"/>
    </row>
    <row r="5028" spans="1:1">
      <c r="A5028" s="45"/>
    </row>
    <row r="5029" spans="1:1">
      <c r="A5029" s="45"/>
    </row>
    <row r="5030" spans="1:1">
      <c r="A5030" s="45"/>
    </row>
    <row r="5031" spans="1:1">
      <c r="A5031" s="45"/>
    </row>
    <row r="5032" spans="1:1">
      <c r="A5032" s="45"/>
    </row>
    <row r="5033" spans="1:1">
      <c r="A5033" s="45"/>
    </row>
    <row r="5034" spans="1:1">
      <c r="A5034" s="45"/>
    </row>
    <row r="5035" spans="1:1">
      <c r="A5035" s="45"/>
    </row>
    <row r="5036" spans="1:1">
      <c r="A5036" s="45"/>
    </row>
    <row r="5037" spans="1:1">
      <c r="A5037" s="45"/>
    </row>
    <row r="5038" spans="1:1">
      <c r="A5038" s="45"/>
    </row>
    <row r="5039" spans="1:1">
      <c r="A5039" s="45"/>
    </row>
    <row r="5040" spans="1:1">
      <c r="A5040" s="45"/>
    </row>
    <row r="5041" spans="1:1">
      <c r="A5041" s="45"/>
    </row>
    <row r="5042" spans="1:1">
      <c r="A5042" s="45"/>
    </row>
    <row r="5043" spans="1:1">
      <c r="A5043" s="45"/>
    </row>
    <row r="5044" spans="1:1">
      <c r="A5044" s="45"/>
    </row>
    <row r="5045" spans="1:1">
      <c r="A5045" s="45"/>
    </row>
    <row r="5046" spans="1:1">
      <c r="A5046" s="45"/>
    </row>
    <row r="5047" spans="1:1">
      <c r="A5047" s="45"/>
    </row>
    <row r="5048" spans="1:1">
      <c r="A5048" s="45"/>
    </row>
    <row r="5049" spans="1:1">
      <c r="A5049" s="45"/>
    </row>
    <row r="5050" spans="1:1">
      <c r="A5050" s="45"/>
    </row>
    <row r="5051" spans="1:1">
      <c r="A5051" s="45"/>
    </row>
    <row r="5052" spans="1:1">
      <c r="A5052" s="45"/>
    </row>
    <row r="5053" spans="1:1">
      <c r="A5053" s="45"/>
    </row>
    <row r="5054" spans="1:1">
      <c r="A5054" s="45"/>
    </row>
    <row r="5055" spans="1:1">
      <c r="A5055" s="45"/>
    </row>
    <row r="5056" spans="1:1">
      <c r="A5056" s="45"/>
    </row>
    <row r="5057" spans="1:1">
      <c r="A5057" s="45"/>
    </row>
    <row r="5058" spans="1:1">
      <c r="A5058" s="45"/>
    </row>
    <row r="5059" spans="1:1">
      <c r="A5059" s="45"/>
    </row>
    <row r="5060" spans="1:1">
      <c r="A5060" s="45"/>
    </row>
    <row r="5061" spans="1:1">
      <c r="A5061" s="45"/>
    </row>
    <row r="5062" spans="1:1">
      <c r="A5062" s="45"/>
    </row>
    <row r="5063" spans="1:1">
      <c r="A5063" s="45"/>
    </row>
    <row r="5064" spans="1:1">
      <c r="A5064" s="45"/>
    </row>
    <row r="5065" spans="1:1">
      <c r="A5065" s="45"/>
    </row>
    <row r="5066" spans="1:1">
      <c r="A5066" s="45"/>
    </row>
    <row r="5067" spans="1:1">
      <c r="A5067" s="45"/>
    </row>
    <row r="5068" spans="1:1">
      <c r="A5068" s="45"/>
    </row>
    <row r="5069" spans="1:1">
      <c r="A5069" s="45"/>
    </row>
    <row r="5070" spans="1:1">
      <c r="A5070" s="45"/>
    </row>
    <row r="5071" spans="1:1">
      <c r="A5071" s="45"/>
    </row>
    <row r="5072" spans="1:1">
      <c r="A5072" s="45"/>
    </row>
    <row r="5073" spans="1:1">
      <c r="A5073" s="45"/>
    </row>
    <row r="5074" spans="1:1">
      <c r="A5074" s="45"/>
    </row>
    <row r="5075" spans="1:1">
      <c r="A5075" s="45"/>
    </row>
    <row r="5076" spans="1:1">
      <c r="A5076" s="45"/>
    </row>
    <row r="5077" spans="1:1">
      <c r="A5077" s="45"/>
    </row>
    <row r="5078" spans="1:1">
      <c r="A5078" s="45"/>
    </row>
    <row r="5079" spans="1:1">
      <c r="A5079" s="45"/>
    </row>
    <row r="5080" spans="1:1">
      <c r="A5080" s="45"/>
    </row>
    <row r="5081" spans="1:1">
      <c r="A5081" s="45"/>
    </row>
    <row r="5082" spans="1:1">
      <c r="A5082" s="45"/>
    </row>
    <row r="5083" spans="1:1">
      <c r="A5083" s="45"/>
    </row>
    <row r="5084" spans="1:1">
      <c r="A5084" s="45"/>
    </row>
    <row r="5085" spans="1:1">
      <c r="A5085" s="45"/>
    </row>
    <row r="5086" spans="1:1">
      <c r="A5086" s="45"/>
    </row>
    <row r="5087" spans="1:1">
      <c r="A5087" s="45"/>
    </row>
    <row r="5088" spans="1:1">
      <c r="A5088" s="45"/>
    </row>
    <row r="5089" spans="1:1">
      <c r="A5089" s="45"/>
    </row>
    <row r="5090" spans="1:1">
      <c r="A5090" s="45"/>
    </row>
    <row r="5091" spans="1:1">
      <c r="A5091" s="45"/>
    </row>
    <row r="5092" spans="1:1">
      <c r="A5092" s="45"/>
    </row>
    <row r="5093" spans="1:1">
      <c r="A5093" s="45"/>
    </row>
    <row r="5094" spans="1:1">
      <c r="A5094" s="45"/>
    </row>
    <row r="5095" spans="1:1">
      <c r="A5095" s="45"/>
    </row>
    <row r="5096" spans="1:1">
      <c r="A5096" s="45"/>
    </row>
    <row r="5097" spans="1:1">
      <c r="A5097" s="45"/>
    </row>
    <row r="5098" spans="1:1">
      <c r="A5098" s="45"/>
    </row>
    <row r="5099" spans="1:1">
      <c r="A5099" s="45"/>
    </row>
    <row r="5100" spans="1:1">
      <c r="A5100" s="45"/>
    </row>
    <row r="5101" spans="1:1">
      <c r="A5101" s="45"/>
    </row>
    <row r="5102" spans="1:1">
      <c r="A5102" s="45"/>
    </row>
    <row r="5103" spans="1:1">
      <c r="A5103" s="45"/>
    </row>
    <row r="5104" spans="1:1">
      <c r="A5104" s="45"/>
    </row>
    <row r="5105" spans="1:1">
      <c r="A5105" s="45"/>
    </row>
    <row r="5106" spans="1:1">
      <c r="A5106" s="45"/>
    </row>
    <row r="5107" spans="1:1">
      <c r="A5107" s="45"/>
    </row>
    <row r="5108" spans="1:1">
      <c r="A5108" s="45"/>
    </row>
    <row r="5109" spans="1:1">
      <c r="A5109" s="45"/>
    </row>
    <row r="5110" spans="1:1">
      <c r="A5110" s="45"/>
    </row>
    <row r="5111" spans="1:1">
      <c r="A5111" s="45"/>
    </row>
    <row r="5112" spans="1:1">
      <c r="A5112" s="45"/>
    </row>
    <row r="5113" spans="1:1">
      <c r="A5113" s="45"/>
    </row>
    <row r="5114" spans="1:1">
      <c r="A5114" s="45"/>
    </row>
    <row r="5115" spans="1:1">
      <c r="A5115" s="45"/>
    </row>
    <row r="5116" spans="1:1">
      <c r="A5116" s="45"/>
    </row>
    <row r="5117" spans="1:1">
      <c r="A5117" s="45"/>
    </row>
    <row r="5118" spans="1:1">
      <c r="A5118" s="45"/>
    </row>
    <row r="5119" spans="1:1">
      <c r="A5119" s="45"/>
    </row>
    <row r="5120" spans="1:1">
      <c r="A5120" s="45"/>
    </row>
    <row r="5121" spans="1:1">
      <c r="A5121" s="45"/>
    </row>
    <row r="5122" spans="1:1">
      <c r="A5122" s="45"/>
    </row>
    <row r="5123" spans="1:1">
      <c r="A5123" s="45"/>
    </row>
    <row r="5124" spans="1:1">
      <c r="A5124" s="45"/>
    </row>
    <row r="5125" spans="1:1">
      <c r="A5125" s="45"/>
    </row>
    <row r="5126" spans="1:1">
      <c r="A5126" s="45"/>
    </row>
    <row r="5127" spans="1:1">
      <c r="A5127" s="45"/>
    </row>
    <row r="5128" spans="1:1">
      <c r="A5128" s="45"/>
    </row>
    <row r="5129" spans="1:1">
      <c r="A5129" s="45"/>
    </row>
    <row r="5130" spans="1:1">
      <c r="A5130" s="45"/>
    </row>
    <row r="5131" spans="1:1">
      <c r="A5131" s="45"/>
    </row>
    <row r="5132" spans="1:1">
      <c r="A5132" s="45"/>
    </row>
    <row r="5133" spans="1:1">
      <c r="A5133" s="45"/>
    </row>
    <row r="5134" spans="1:1">
      <c r="A5134" s="45"/>
    </row>
    <row r="5135" spans="1:1">
      <c r="A5135" s="45"/>
    </row>
    <row r="5136" spans="1:1">
      <c r="A5136" s="45"/>
    </row>
    <row r="5137" spans="1:1">
      <c r="A5137" s="45"/>
    </row>
    <row r="5138" spans="1:1">
      <c r="A5138" s="45"/>
    </row>
    <row r="5139" spans="1:1">
      <c r="A5139" s="45"/>
    </row>
    <row r="5140" spans="1:1">
      <c r="A5140" s="45"/>
    </row>
    <row r="5141" spans="1:1">
      <c r="A5141" s="45"/>
    </row>
    <row r="5142" spans="1:1">
      <c r="A5142" s="45"/>
    </row>
    <row r="5143" spans="1:1">
      <c r="A5143" s="45"/>
    </row>
    <row r="5144" spans="1:1">
      <c r="A5144" s="45"/>
    </row>
    <row r="5145" spans="1:1">
      <c r="A5145" s="45"/>
    </row>
    <row r="5146" spans="1:1">
      <c r="A5146" s="45"/>
    </row>
    <row r="5147" spans="1:1">
      <c r="A5147" s="45"/>
    </row>
    <row r="5148" spans="1:1">
      <c r="A5148" s="45"/>
    </row>
    <row r="5149" spans="1:1">
      <c r="A5149" s="45"/>
    </row>
    <row r="5150" spans="1:1">
      <c r="A5150" s="45"/>
    </row>
    <row r="5151" spans="1:1">
      <c r="A5151" s="45"/>
    </row>
    <row r="5152" spans="1:1">
      <c r="A5152" s="45"/>
    </row>
    <row r="5153" spans="1:1">
      <c r="A5153" s="45"/>
    </row>
    <row r="5154" spans="1:1">
      <c r="A5154" s="45"/>
    </row>
    <row r="5155" spans="1:1">
      <c r="A5155" s="45"/>
    </row>
    <row r="5156" spans="1:1">
      <c r="A5156" s="45"/>
    </row>
    <row r="5157" spans="1:1">
      <c r="A5157" s="45"/>
    </row>
    <row r="5158" spans="1:1">
      <c r="A5158" s="45"/>
    </row>
    <row r="5159" spans="1:1">
      <c r="A5159" s="45"/>
    </row>
    <row r="5160" spans="1:1">
      <c r="A5160" s="45"/>
    </row>
    <row r="5161" spans="1:1">
      <c r="A5161" s="45"/>
    </row>
    <row r="5162" spans="1:1">
      <c r="A5162" s="45"/>
    </row>
    <row r="5163" spans="1:1">
      <c r="A5163" s="45"/>
    </row>
    <row r="5164" spans="1:1">
      <c r="A5164" s="45"/>
    </row>
    <row r="5165" spans="1:1">
      <c r="A5165" s="45"/>
    </row>
    <row r="5166" spans="1:1">
      <c r="A5166" s="45"/>
    </row>
    <row r="5167" spans="1:1">
      <c r="A5167" s="45"/>
    </row>
    <row r="5168" spans="1:1">
      <c r="A5168" s="45"/>
    </row>
    <row r="5169" spans="1:1">
      <c r="A5169" s="45"/>
    </row>
    <row r="5170" spans="1:1">
      <c r="A5170" s="45"/>
    </row>
    <row r="5171" spans="1:1">
      <c r="A5171" s="45"/>
    </row>
    <row r="5172" spans="1:1">
      <c r="A5172" s="45"/>
    </row>
    <row r="5173" spans="1:1">
      <c r="A5173" s="45"/>
    </row>
    <row r="5174" spans="1:1">
      <c r="A5174" s="45"/>
    </row>
    <row r="5175" spans="1:1">
      <c r="A5175" s="45"/>
    </row>
    <row r="5176" spans="1:1">
      <c r="A5176" s="45"/>
    </row>
    <row r="5177" spans="1:1">
      <c r="A5177" s="45"/>
    </row>
    <row r="5178" spans="1:1">
      <c r="A5178" s="45"/>
    </row>
    <row r="5179" spans="1:1">
      <c r="A5179" s="45"/>
    </row>
    <row r="5180" spans="1:1">
      <c r="A5180" s="45"/>
    </row>
    <row r="5181" spans="1:1">
      <c r="A5181" s="45"/>
    </row>
    <row r="5182" spans="1:1">
      <c r="A5182" s="45"/>
    </row>
    <row r="5183" spans="1:1">
      <c r="A5183" s="45"/>
    </row>
    <row r="5184" spans="1:1">
      <c r="A5184" s="45"/>
    </row>
    <row r="5185" spans="1:1">
      <c r="A5185" s="45"/>
    </row>
    <row r="5186" spans="1:1">
      <c r="A5186" s="45"/>
    </row>
    <row r="5187" spans="1:1">
      <c r="A5187" s="45"/>
    </row>
    <row r="5188" spans="1:1">
      <c r="A5188" s="45"/>
    </row>
    <row r="5189" spans="1:1">
      <c r="A5189" s="45"/>
    </row>
    <row r="5190" spans="1:1">
      <c r="A5190" s="45"/>
    </row>
    <row r="5191" spans="1:1">
      <c r="A5191" s="45"/>
    </row>
    <row r="5192" spans="1:1">
      <c r="A5192" s="45"/>
    </row>
    <row r="5193" spans="1:1">
      <c r="A5193" s="45"/>
    </row>
    <row r="5194" spans="1:1">
      <c r="A5194" s="45"/>
    </row>
    <row r="5195" spans="1:1">
      <c r="A5195" s="45"/>
    </row>
    <row r="5196" spans="1:1">
      <c r="A5196" s="45"/>
    </row>
    <row r="5197" spans="1:1">
      <c r="A5197" s="45"/>
    </row>
    <row r="5198" spans="1:1">
      <c r="A5198" s="45"/>
    </row>
    <row r="5199" spans="1:1">
      <c r="A5199" s="45"/>
    </row>
    <row r="5200" spans="1:1">
      <c r="A5200" s="45"/>
    </row>
    <row r="5201" spans="1:1">
      <c r="A5201" s="45"/>
    </row>
    <row r="5202" spans="1:1">
      <c r="A5202" s="45"/>
    </row>
    <row r="5203" spans="1:1">
      <c r="A5203" s="45"/>
    </row>
    <row r="5204" spans="1:1">
      <c r="A5204" s="45"/>
    </row>
    <row r="5205" spans="1:1">
      <c r="A5205" s="45"/>
    </row>
    <row r="5206" spans="1:1">
      <c r="A5206" s="45"/>
    </row>
    <row r="5207" spans="1:1">
      <c r="A5207" s="45"/>
    </row>
    <row r="5208" spans="1:1">
      <c r="A5208" s="45"/>
    </row>
    <row r="5209" spans="1:1">
      <c r="A5209" s="45"/>
    </row>
    <row r="5210" spans="1:1">
      <c r="A5210" s="45"/>
    </row>
    <row r="5211" spans="1:1">
      <c r="A5211" s="45"/>
    </row>
    <row r="5212" spans="1:1">
      <c r="A5212" s="45"/>
    </row>
    <row r="5213" spans="1:1">
      <c r="A5213" s="45"/>
    </row>
    <row r="5214" spans="1:1">
      <c r="A5214" s="45"/>
    </row>
    <row r="5215" spans="1:1">
      <c r="A5215" s="45"/>
    </row>
    <row r="5216" spans="1:1">
      <c r="A5216" s="45"/>
    </row>
    <row r="5217" spans="1:1">
      <c r="A5217" s="45"/>
    </row>
    <row r="5218" spans="1:1">
      <c r="A5218" s="45"/>
    </row>
    <row r="5219" spans="1:1">
      <c r="A5219" s="45"/>
    </row>
    <row r="5220" spans="1:1">
      <c r="A5220" s="45"/>
    </row>
    <row r="5221" spans="1:1">
      <c r="A5221" s="45"/>
    </row>
    <row r="5222" spans="1:1">
      <c r="A5222" s="45"/>
    </row>
    <row r="5223" spans="1:1">
      <c r="A5223" s="45"/>
    </row>
    <row r="5224" spans="1:1">
      <c r="A5224" s="45"/>
    </row>
    <row r="5225" spans="1:1">
      <c r="A5225" s="45"/>
    </row>
    <row r="5226" spans="1:1">
      <c r="A5226" s="45"/>
    </row>
    <row r="5227" spans="1:1">
      <c r="A5227" s="45"/>
    </row>
    <row r="5228" spans="1:1">
      <c r="A5228" s="45"/>
    </row>
    <row r="5229" spans="1:1">
      <c r="A5229" s="45"/>
    </row>
    <row r="5230" spans="1:1">
      <c r="A5230" s="45"/>
    </row>
    <row r="5231" spans="1:1">
      <c r="A5231" s="45"/>
    </row>
    <row r="5232" spans="1:1">
      <c r="A5232" s="45"/>
    </row>
    <row r="5233" spans="1:1">
      <c r="A5233" s="45"/>
    </row>
    <row r="5234" spans="1:1">
      <c r="A5234" s="45"/>
    </row>
    <row r="5235" spans="1:1">
      <c r="A5235" s="45"/>
    </row>
    <row r="5236" spans="1:1">
      <c r="A5236" s="45"/>
    </row>
    <row r="5237" spans="1:1">
      <c r="A5237" s="45"/>
    </row>
    <row r="5238" spans="1:1">
      <c r="A5238" s="45"/>
    </row>
    <row r="5239" spans="1:1">
      <c r="A5239" s="45"/>
    </row>
    <row r="5240" spans="1:1">
      <c r="A5240" s="45"/>
    </row>
    <row r="5241" spans="1:1">
      <c r="A5241" s="45"/>
    </row>
    <row r="5242" spans="1:1">
      <c r="A5242" s="45"/>
    </row>
    <row r="5243" spans="1:1">
      <c r="A5243" s="45"/>
    </row>
    <row r="5244" spans="1:1">
      <c r="A5244" s="45"/>
    </row>
    <row r="5245" spans="1:1">
      <c r="A5245" s="45"/>
    </row>
    <row r="5246" spans="1:1">
      <c r="A5246" s="45"/>
    </row>
    <row r="5247" spans="1:1">
      <c r="A5247" s="45"/>
    </row>
    <row r="5248" spans="1:1">
      <c r="A5248" s="45"/>
    </row>
    <row r="5249" spans="1:1">
      <c r="A5249" s="45"/>
    </row>
    <row r="5250" spans="1:1">
      <c r="A5250" s="45"/>
    </row>
    <row r="5251" spans="1:1">
      <c r="A5251" s="45"/>
    </row>
    <row r="5252" spans="1:1">
      <c r="A5252" s="45"/>
    </row>
    <row r="5253" spans="1:1">
      <c r="A5253" s="45"/>
    </row>
    <row r="5254" spans="1:1">
      <c r="A5254" s="45"/>
    </row>
    <row r="5255" spans="1:1">
      <c r="A5255" s="45"/>
    </row>
    <row r="5256" spans="1:1">
      <c r="A5256" s="45"/>
    </row>
    <row r="5257" spans="1:1">
      <c r="A5257" s="45"/>
    </row>
    <row r="5258" spans="1:1">
      <c r="A5258" s="45"/>
    </row>
    <row r="5259" spans="1:1">
      <c r="A5259" s="45"/>
    </row>
    <row r="5260" spans="1:1">
      <c r="A5260" s="45"/>
    </row>
    <row r="5261" spans="1:1">
      <c r="A5261" s="45"/>
    </row>
    <row r="5262" spans="1:1">
      <c r="A5262" s="45"/>
    </row>
    <row r="5263" spans="1:1">
      <c r="A5263" s="45"/>
    </row>
    <row r="5264" spans="1:1">
      <c r="A5264" s="45"/>
    </row>
    <row r="5265" spans="1:1">
      <c r="A5265" s="45"/>
    </row>
    <row r="5266" spans="1:1">
      <c r="A5266" s="45"/>
    </row>
    <row r="5267" spans="1:1">
      <c r="A5267" s="45"/>
    </row>
    <row r="5268" spans="1:1">
      <c r="A5268" s="45"/>
    </row>
    <row r="5269" spans="1:1">
      <c r="A5269" s="45"/>
    </row>
    <row r="5270" spans="1:1">
      <c r="A5270" s="45"/>
    </row>
    <row r="5271" spans="1:1">
      <c r="A5271" s="45"/>
    </row>
    <row r="5272" spans="1:1">
      <c r="A5272" s="45"/>
    </row>
    <row r="5273" spans="1:1">
      <c r="A5273" s="45"/>
    </row>
    <row r="5274" spans="1:1">
      <c r="A5274" s="45"/>
    </row>
    <row r="5275" spans="1:1">
      <c r="A5275" s="45"/>
    </row>
    <row r="5276" spans="1:1">
      <c r="A5276" s="45"/>
    </row>
    <row r="5277" spans="1:1">
      <c r="A5277" s="45"/>
    </row>
    <row r="5278" spans="1:1">
      <c r="A5278" s="45"/>
    </row>
    <row r="5279" spans="1:1">
      <c r="A5279" s="45"/>
    </row>
    <row r="5280" spans="1:1">
      <c r="A5280" s="45"/>
    </row>
    <row r="5281" spans="1:1">
      <c r="A5281" s="45"/>
    </row>
    <row r="5282" spans="1:1">
      <c r="A5282" s="45"/>
    </row>
    <row r="5283" spans="1:1">
      <c r="A5283" s="45"/>
    </row>
    <row r="5284" spans="1:1">
      <c r="A5284" s="45"/>
    </row>
    <row r="5285" spans="1:1">
      <c r="A5285" s="45"/>
    </row>
    <row r="5286" spans="1:1">
      <c r="A5286" s="45"/>
    </row>
    <row r="5287" spans="1:1">
      <c r="A5287" s="45"/>
    </row>
    <row r="5288" spans="1:1">
      <c r="A5288" s="45"/>
    </row>
    <row r="5289" spans="1:1">
      <c r="A5289" s="45"/>
    </row>
    <row r="5290" spans="1:1">
      <c r="A5290" s="45"/>
    </row>
    <row r="5291" spans="1:1">
      <c r="A5291" s="45"/>
    </row>
    <row r="5292" spans="1:1">
      <c r="A5292" s="45"/>
    </row>
    <row r="5293" spans="1:1">
      <c r="A5293" s="45"/>
    </row>
    <row r="5294" spans="1:1">
      <c r="A5294" s="45"/>
    </row>
    <row r="5295" spans="1:1">
      <c r="A5295" s="45"/>
    </row>
    <row r="5296" spans="1:1">
      <c r="A5296" s="45"/>
    </row>
    <row r="5297" spans="1:1">
      <c r="A5297" s="45"/>
    </row>
    <row r="5298" spans="1:1">
      <c r="A5298" s="45"/>
    </row>
    <row r="5299" spans="1:1">
      <c r="A5299" s="45"/>
    </row>
    <row r="5300" spans="1:1">
      <c r="A5300" s="45"/>
    </row>
    <row r="5301" spans="1:1">
      <c r="A5301" s="45"/>
    </row>
    <row r="5302" spans="1:1">
      <c r="A5302" s="45"/>
    </row>
    <row r="5303" spans="1:1">
      <c r="A5303" s="45"/>
    </row>
    <row r="5304" spans="1:1">
      <c r="A5304" s="45"/>
    </row>
    <row r="5305" spans="1:1">
      <c r="A5305" s="45"/>
    </row>
    <row r="5306" spans="1:1">
      <c r="A5306" s="45"/>
    </row>
    <row r="5307" spans="1:1">
      <c r="A5307" s="45"/>
    </row>
    <row r="5308" spans="1:1">
      <c r="A5308" s="45"/>
    </row>
    <row r="5309" spans="1:1">
      <c r="A5309" s="45"/>
    </row>
    <row r="5310" spans="1:1">
      <c r="A5310" s="45"/>
    </row>
    <row r="5311" spans="1:1">
      <c r="A5311" s="45"/>
    </row>
    <row r="5312" spans="1:1">
      <c r="A5312" s="45"/>
    </row>
    <row r="5313" spans="1:1">
      <c r="A5313" s="45"/>
    </row>
    <row r="5314" spans="1:1">
      <c r="A5314" s="45"/>
    </row>
    <row r="5315" spans="1:1">
      <c r="A5315" s="45"/>
    </row>
    <row r="5316" spans="1:1">
      <c r="A5316" s="45"/>
    </row>
    <row r="5317" spans="1:1">
      <c r="A5317" s="45"/>
    </row>
    <row r="5318" spans="1:1">
      <c r="A5318" s="45"/>
    </row>
    <row r="5319" spans="1:1">
      <c r="A5319" s="45"/>
    </row>
    <row r="5320" spans="1:1">
      <c r="A5320" s="45"/>
    </row>
    <row r="5321" spans="1:1">
      <c r="A5321" s="45"/>
    </row>
    <row r="5322" spans="1:1">
      <c r="A5322" s="45"/>
    </row>
    <row r="5323" spans="1:1">
      <c r="A5323" s="45"/>
    </row>
    <row r="5324" spans="1:1">
      <c r="A5324" s="45"/>
    </row>
    <row r="5325" spans="1:1">
      <c r="A5325" s="45"/>
    </row>
    <row r="5326" spans="1:1">
      <c r="A5326" s="45"/>
    </row>
    <row r="5327" spans="1:1">
      <c r="A5327" s="45"/>
    </row>
    <row r="5328" spans="1:1">
      <c r="A5328" s="45"/>
    </row>
    <row r="5329" spans="1:1">
      <c r="A5329" s="45"/>
    </row>
    <row r="5330" spans="1:1">
      <c r="A5330" s="45"/>
    </row>
    <row r="5331" spans="1:1">
      <c r="A5331" s="45"/>
    </row>
    <row r="5332" spans="1:1">
      <c r="A5332" s="45"/>
    </row>
    <row r="5333" spans="1:1">
      <c r="A5333" s="45"/>
    </row>
    <row r="5334" spans="1:1">
      <c r="A5334" s="45"/>
    </row>
    <row r="5335" spans="1:1">
      <c r="A5335" s="45"/>
    </row>
    <row r="5336" spans="1:1">
      <c r="A5336" s="45"/>
    </row>
    <row r="5337" spans="1:1">
      <c r="A5337" s="45"/>
    </row>
    <row r="5338" spans="1:1">
      <c r="A5338" s="45"/>
    </row>
    <row r="5339" spans="1:1">
      <c r="A5339" s="45"/>
    </row>
    <row r="5340" spans="1:1">
      <c r="A5340" s="45"/>
    </row>
    <row r="5341" spans="1:1">
      <c r="A5341" s="45"/>
    </row>
    <row r="5342" spans="1:1">
      <c r="A5342" s="45"/>
    </row>
    <row r="5343" spans="1:1">
      <c r="A5343" s="45"/>
    </row>
    <row r="5344" spans="1:1">
      <c r="A5344" s="45"/>
    </row>
    <row r="5345" spans="1:1">
      <c r="A5345" s="45"/>
    </row>
    <row r="5346" spans="1:1">
      <c r="A5346" s="45"/>
    </row>
    <row r="5347" spans="1:1">
      <c r="A5347" s="45"/>
    </row>
    <row r="5348" spans="1:1">
      <c r="A5348" s="45"/>
    </row>
    <row r="5349" spans="1:1">
      <c r="A5349" s="45"/>
    </row>
    <row r="5350" spans="1:1">
      <c r="A5350" s="45"/>
    </row>
    <row r="5351" spans="1:1">
      <c r="A5351" s="45"/>
    </row>
    <row r="5352" spans="1:1">
      <c r="A5352" s="45"/>
    </row>
    <row r="5353" spans="1:1">
      <c r="A5353" s="45"/>
    </row>
    <row r="5354" spans="1:1">
      <c r="A5354" s="45"/>
    </row>
    <row r="5355" spans="1:1">
      <c r="A5355" s="45"/>
    </row>
    <row r="5356" spans="1:1">
      <c r="A5356" s="45"/>
    </row>
    <row r="5357" spans="1:1">
      <c r="A5357" s="45"/>
    </row>
    <row r="5358" spans="1:1">
      <c r="A5358" s="45"/>
    </row>
    <row r="5359" spans="1:1">
      <c r="A5359" s="45"/>
    </row>
    <row r="5360" spans="1:1">
      <c r="A5360" s="45"/>
    </row>
    <row r="5361" spans="1:1">
      <c r="A5361" s="45"/>
    </row>
    <row r="5362" spans="1:1">
      <c r="A5362" s="45"/>
    </row>
    <row r="5363" spans="1:1">
      <c r="A5363" s="45"/>
    </row>
    <row r="5364" spans="1:1">
      <c r="A5364" s="45"/>
    </row>
    <row r="5365" spans="1:1">
      <c r="A5365" s="45"/>
    </row>
    <row r="5366" spans="1:1">
      <c r="A5366" s="45"/>
    </row>
    <row r="5367" spans="1:1">
      <c r="A5367" s="45"/>
    </row>
    <row r="5368" spans="1:1">
      <c r="A5368" s="45"/>
    </row>
    <row r="5369" spans="1:1">
      <c r="A5369" s="45"/>
    </row>
    <row r="5370" spans="1:1">
      <c r="A5370" s="45"/>
    </row>
    <row r="5371" spans="1:1">
      <c r="A5371" s="45"/>
    </row>
    <row r="5372" spans="1:1">
      <c r="A5372" s="45"/>
    </row>
    <row r="5373" spans="1:1">
      <c r="A5373" s="45"/>
    </row>
    <row r="5374" spans="1:1">
      <c r="A5374" s="45"/>
    </row>
    <row r="5375" spans="1:1">
      <c r="A5375" s="45"/>
    </row>
    <row r="5376" spans="1:1">
      <c r="A5376" s="45"/>
    </row>
    <row r="5377" spans="1:1">
      <c r="A5377" s="45"/>
    </row>
    <row r="5378" spans="1:1">
      <c r="A5378" s="45"/>
    </row>
    <row r="5379" spans="1:1">
      <c r="A5379" s="45"/>
    </row>
    <row r="5380" spans="1:1">
      <c r="A5380" s="45"/>
    </row>
    <row r="5381" spans="1:1">
      <c r="A5381" s="45"/>
    </row>
    <row r="5382" spans="1:1">
      <c r="A5382" s="45"/>
    </row>
    <row r="5383" spans="1:1">
      <c r="A5383" s="45"/>
    </row>
    <row r="5384" spans="1:1">
      <c r="A5384" s="45"/>
    </row>
    <row r="5385" spans="1:1">
      <c r="A5385" s="45"/>
    </row>
    <row r="5386" spans="1:1">
      <c r="A5386" s="45"/>
    </row>
    <row r="5387" spans="1:1">
      <c r="A5387" s="45"/>
    </row>
    <row r="5388" spans="1:1">
      <c r="A5388" s="45"/>
    </row>
    <row r="5389" spans="1:1">
      <c r="A5389" s="45"/>
    </row>
    <row r="5390" spans="1:1">
      <c r="A5390" s="45"/>
    </row>
    <row r="5391" spans="1:1">
      <c r="A5391" s="45"/>
    </row>
    <row r="5392" spans="1:1">
      <c r="A5392" s="45"/>
    </row>
    <row r="5393" spans="1:1">
      <c r="A5393" s="45"/>
    </row>
    <row r="5394" spans="1:1">
      <c r="A5394" s="45"/>
    </row>
    <row r="5395" spans="1:1">
      <c r="A5395" s="45"/>
    </row>
    <row r="5396" spans="1:1">
      <c r="A5396" s="45"/>
    </row>
    <row r="5397" spans="1:1">
      <c r="A5397" s="45"/>
    </row>
    <row r="5398" spans="1:1">
      <c r="A5398" s="45"/>
    </row>
    <row r="5399" spans="1:1">
      <c r="A5399" s="45"/>
    </row>
    <row r="5400" spans="1:1">
      <c r="A5400" s="45"/>
    </row>
    <row r="5401" spans="1:1">
      <c r="A5401" s="45"/>
    </row>
    <row r="5402" spans="1:1">
      <c r="A5402" s="45"/>
    </row>
    <row r="5403" spans="1:1">
      <c r="A5403" s="45"/>
    </row>
    <row r="5404" spans="1:1">
      <c r="A5404" s="45"/>
    </row>
    <row r="5405" spans="1:1">
      <c r="A5405" s="45"/>
    </row>
    <row r="5406" spans="1:1">
      <c r="A5406" s="45"/>
    </row>
    <row r="5407" spans="1:1">
      <c r="A5407" s="45"/>
    </row>
    <row r="5408" spans="1:1">
      <c r="A5408" s="45"/>
    </row>
    <row r="5409" spans="1:1">
      <c r="A5409" s="45"/>
    </row>
    <row r="5410" spans="1:1">
      <c r="A5410" s="45"/>
    </row>
    <row r="5411" spans="1:1">
      <c r="A5411" s="45"/>
    </row>
    <row r="5412" spans="1:1">
      <c r="A5412" s="45"/>
    </row>
    <row r="5413" spans="1:1">
      <c r="A5413" s="45"/>
    </row>
    <row r="5414" spans="1:1">
      <c r="A5414" s="45"/>
    </row>
    <row r="5415" spans="1:1">
      <c r="A5415" s="45"/>
    </row>
    <row r="5416" spans="1:1">
      <c r="A5416" s="45"/>
    </row>
    <row r="5417" spans="1:1">
      <c r="A5417" s="45"/>
    </row>
    <row r="5418" spans="1:1">
      <c r="A5418" s="45"/>
    </row>
    <row r="5419" spans="1:1">
      <c r="A5419" s="45"/>
    </row>
    <row r="5420" spans="1:1">
      <c r="A5420" s="45"/>
    </row>
    <row r="5421" spans="1:1">
      <c r="A5421" s="45"/>
    </row>
    <row r="5422" spans="1:1">
      <c r="A5422" s="45"/>
    </row>
    <row r="5423" spans="1:1">
      <c r="A5423" s="45"/>
    </row>
    <row r="5424" spans="1:1">
      <c r="A5424" s="45"/>
    </row>
    <row r="5425" spans="1:1">
      <c r="A5425" s="45"/>
    </row>
    <row r="5426" spans="1:1">
      <c r="A5426" s="45"/>
    </row>
    <row r="5427" spans="1:1">
      <c r="A5427" s="45"/>
    </row>
    <row r="5428" spans="1:1">
      <c r="A5428" s="45"/>
    </row>
    <row r="5429" spans="1:1">
      <c r="A5429" s="45"/>
    </row>
    <row r="5430" spans="1:1">
      <c r="A5430" s="45"/>
    </row>
    <row r="5431" spans="1:1">
      <c r="A5431" s="45"/>
    </row>
    <row r="5432" spans="1:1">
      <c r="A5432" s="45"/>
    </row>
    <row r="5433" spans="1:1">
      <c r="A5433" s="45"/>
    </row>
    <row r="5434" spans="1:1">
      <c r="A5434" s="45"/>
    </row>
    <row r="5435" spans="1:1">
      <c r="A5435" s="45"/>
    </row>
    <row r="5436" spans="1:1">
      <c r="A5436" s="45"/>
    </row>
    <row r="5437" spans="1:1">
      <c r="A5437" s="45"/>
    </row>
    <row r="5438" spans="1:1">
      <c r="A5438" s="45"/>
    </row>
    <row r="5439" spans="1:1">
      <c r="A5439" s="45"/>
    </row>
    <row r="5440" spans="1:1">
      <c r="A5440" s="45"/>
    </row>
    <row r="5441" spans="1:1">
      <c r="A5441" s="45"/>
    </row>
    <row r="5442" spans="1:1">
      <c r="A5442" s="45"/>
    </row>
    <row r="5443" spans="1:1">
      <c r="A5443" s="45"/>
    </row>
    <row r="5444" spans="1:1">
      <c r="A5444" s="45"/>
    </row>
    <row r="5445" spans="1:1">
      <c r="A5445" s="45"/>
    </row>
    <row r="5446" spans="1:1">
      <c r="A5446" s="45"/>
    </row>
    <row r="5447" spans="1:1">
      <c r="A5447" s="45"/>
    </row>
    <row r="5448" spans="1:1">
      <c r="A5448" s="45"/>
    </row>
    <row r="5449" spans="1:1">
      <c r="A5449" s="45"/>
    </row>
    <row r="5450" spans="1:1">
      <c r="A5450" s="45"/>
    </row>
    <row r="5451" spans="1:1">
      <c r="A5451" s="45"/>
    </row>
    <row r="5452" spans="1:1">
      <c r="A5452" s="45"/>
    </row>
    <row r="5453" spans="1:1">
      <c r="A5453" s="45"/>
    </row>
    <row r="5454" spans="1:1">
      <c r="A5454" s="45"/>
    </row>
    <row r="5455" spans="1:1">
      <c r="A5455" s="45"/>
    </row>
    <row r="5456" spans="1:1">
      <c r="A5456" s="45"/>
    </row>
    <row r="5457" spans="1:1">
      <c r="A5457" s="45"/>
    </row>
    <row r="5458" spans="1:1">
      <c r="A5458" s="45"/>
    </row>
    <row r="5459" spans="1:1">
      <c r="A5459" s="45"/>
    </row>
    <row r="5460" spans="1:1">
      <c r="A5460" s="45"/>
    </row>
    <row r="5461" spans="1:1">
      <c r="A5461" s="45"/>
    </row>
    <row r="5462" spans="1:1">
      <c r="A5462" s="45"/>
    </row>
    <row r="5463" spans="1:1">
      <c r="A5463" s="45"/>
    </row>
    <row r="5464" spans="1:1">
      <c r="A5464" s="45"/>
    </row>
    <row r="5465" spans="1:1">
      <c r="A5465" s="45"/>
    </row>
    <row r="5466" spans="1:1">
      <c r="A5466" s="45"/>
    </row>
    <row r="5467" spans="1:1">
      <c r="A5467" s="45"/>
    </row>
    <row r="5468" spans="1:1">
      <c r="A5468" s="45"/>
    </row>
    <row r="5469" spans="1:1">
      <c r="A5469" s="45"/>
    </row>
    <row r="5470" spans="1:1">
      <c r="A5470" s="45"/>
    </row>
    <row r="5471" spans="1:1">
      <c r="A5471" s="45"/>
    </row>
    <row r="5472" spans="1:1">
      <c r="A5472" s="45"/>
    </row>
    <row r="5473" spans="1:1">
      <c r="A5473" s="45"/>
    </row>
    <row r="5474" spans="1:1">
      <c r="A5474" s="45"/>
    </row>
    <row r="5475" spans="1:1">
      <c r="A5475" s="45"/>
    </row>
    <row r="5476" spans="1:1">
      <c r="A5476" s="45"/>
    </row>
    <row r="5477" spans="1:1">
      <c r="A5477" s="45"/>
    </row>
    <row r="5478" spans="1:1">
      <c r="A5478" s="45"/>
    </row>
    <row r="5479" spans="1:1">
      <c r="A5479" s="45"/>
    </row>
    <row r="5480" spans="1:1">
      <c r="A5480" s="45"/>
    </row>
    <row r="5481" spans="1:1">
      <c r="A5481" s="45"/>
    </row>
    <row r="5482" spans="1:1">
      <c r="A5482" s="45"/>
    </row>
    <row r="5483" spans="1:1">
      <c r="A5483" s="45"/>
    </row>
    <row r="5484" spans="1:1">
      <c r="A5484" s="45"/>
    </row>
    <row r="5485" spans="1:1">
      <c r="A5485" s="45"/>
    </row>
    <row r="5486" spans="1:1">
      <c r="A5486" s="45"/>
    </row>
    <row r="5487" spans="1:1">
      <c r="A5487" s="45"/>
    </row>
    <row r="5488" spans="1:1">
      <c r="A5488" s="45"/>
    </row>
    <row r="5489" spans="1:1">
      <c r="A5489" s="45"/>
    </row>
    <row r="5490" spans="1:1">
      <c r="A5490" s="45"/>
    </row>
    <row r="5491" spans="1:1">
      <c r="A5491" s="45"/>
    </row>
    <row r="5492" spans="1:1">
      <c r="A5492" s="45"/>
    </row>
    <row r="5493" spans="1:1">
      <c r="A5493" s="45"/>
    </row>
    <row r="5494" spans="1:1">
      <c r="A5494" s="45"/>
    </row>
    <row r="5495" spans="1:1">
      <c r="A5495" s="45"/>
    </row>
    <row r="5496" spans="1:1">
      <c r="A5496" s="45"/>
    </row>
    <row r="5497" spans="1:1">
      <c r="A5497" s="45"/>
    </row>
    <row r="5498" spans="1:1">
      <c r="A5498" s="45"/>
    </row>
    <row r="5499" spans="1:1">
      <c r="A5499" s="45"/>
    </row>
    <row r="5500" spans="1:1">
      <c r="A5500" s="45"/>
    </row>
    <row r="5501" spans="1:1">
      <c r="A5501" s="45"/>
    </row>
    <row r="5502" spans="1:1">
      <c r="A5502" s="45"/>
    </row>
    <row r="5503" spans="1:1">
      <c r="A5503" s="45"/>
    </row>
    <row r="5504" spans="1:1">
      <c r="A5504" s="45"/>
    </row>
    <row r="5505" spans="1:1">
      <c r="A5505" s="45"/>
    </row>
    <row r="5506" spans="1:1">
      <c r="A5506" s="45"/>
    </row>
    <row r="5507" spans="1:1">
      <c r="A5507" s="45"/>
    </row>
    <row r="5508" spans="1:1">
      <c r="A5508" s="45"/>
    </row>
    <row r="5509" spans="1:1">
      <c r="A5509" s="45"/>
    </row>
    <row r="5510" spans="1:1">
      <c r="A5510" s="45"/>
    </row>
    <row r="5511" spans="1:1">
      <c r="A5511" s="45"/>
    </row>
    <row r="5512" spans="1:1">
      <c r="A5512" s="45"/>
    </row>
    <row r="5513" spans="1:1">
      <c r="A5513" s="45"/>
    </row>
    <row r="5514" spans="1:1">
      <c r="A5514" s="45"/>
    </row>
    <row r="5515" spans="1:1">
      <c r="A5515" s="45"/>
    </row>
    <row r="5516" spans="1:1">
      <c r="A5516" s="45"/>
    </row>
    <row r="5517" spans="1:1">
      <c r="A5517" s="45"/>
    </row>
    <row r="5518" spans="1:1">
      <c r="A5518" s="45"/>
    </row>
    <row r="5519" spans="1:1">
      <c r="A5519" s="45"/>
    </row>
    <row r="5520" spans="1:1">
      <c r="A5520" s="45"/>
    </row>
    <row r="5521" spans="1:1">
      <c r="A5521" s="45"/>
    </row>
    <row r="5522" spans="1:1">
      <c r="A5522" s="45"/>
    </row>
    <row r="5523" spans="1:1">
      <c r="A5523" s="45"/>
    </row>
    <row r="5524" spans="1:1">
      <c r="A5524" s="45"/>
    </row>
    <row r="5525" spans="1:1">
      <c r="A5525" s="45"/>
    </row>
    <row r="5526" spans="1:1">
      <c r="A5526" s="45"/>
    </row>
    <row r="5527" spans="1:1">
      <c r="A5527" s="45"/>
    </row>
    <row r="5528" spans="1:1">
      <c r="A5528" s="45"/>
    </row>
    <row r="5529" spans="1:1">
      <c r="A5529" s="45"/>
    </row>
    <row r="5530" spans="1:1">
      <c r="A5530" s="45"/>
    </row>
    <row r="5531" spans="1:1">
      <c r="A5531" s="45"/>
    </row>
    <row r="5532" spans="1:1">
      <c r="A5532" s="45"/>
    </row>
    <row r="5533" spans="1:1">
      <c r="A5533" s="45"/>
    </row>
    <row r="5534" spans="1:1">
      <c r="A5534" s="45"/>
    </row>
    <row r="5535" spans="1:1">
      <c r="A5535" s="45"/>
    </row>
    <row r="5536" spans="1:1">
      <c r="A5536" s="45"/>
    </row>
    <row r="5537" spans="1:1">
      <c r="A5537" s="45"/>
    </row>
    <row r="5538" spans="1:1">
      <c r="A5538" s="45"/>
    </row>
    <row r="5539" spans="1:1">
      <c r="A5539" s="45"/>
    </row>
    <row r="5540" spans="1:1">
      <c r="A5540" s="45"/>
    </row>
    <row r="5541" spans="1:1">
      <c r="A5541" s="45"/>
    </row>
    <row r="5542" spans="1:1">
      <c r="A5542" s="45"/>
    </row>
    <row r="5543" spans="1:1">
      <c r="A5543" s="45"/>
    </row>
    <row r="5544" spans="1:1">
      <c r="A5544" s="45"/>
    </row>
    <row r="5545" spans="1:1">
      <c r="A5545" s="45"/>
    </row>
    <row r="5546" spans="1:1">
      <c r="A5546" s="45"/>
    </row>
    <row r="5547" spans="1:1">
      <c r="A5547" s="45"/>
    </row>
    <row r="5548" spans="1:1">
      <c r="A5548" s="45"/>
    </row>
    <row r="5549" spans="1:1">
      <c r="A5549" s="45"/>
    </row>
    <row r="5550" spans="1:1">
      <c r="A5550" s="45"/>
    </row>
    <row r="5551" spans="1:1">
      <c r="A5551" s="45"/>
    </row>
    <row r="5552" spans="1:1">
      <c r="A5552" s="45"/>
    </row>
    <row r="5553" spans="1:1">
      <c r="A5553" s="45"/>
    </row>
    <row r="5554" spans="1:1">
      <c r="A5554" s="45"/>
    </row>
    <row r="5555" spans="1:1">
      <c r="A5555" s="45"/>
    </row>
    <row r="5556" spans="1:1">
      <c r="A5556" s="45"/>
    </row>
    <row r="5557" spans="1:1">
      <c r="A5557" s="45"/>
    </row>
    <row r="5558" spans="1:1">
      <c r="A5558" s="45"/>
    </row>
    <row r="5559" spans="1:1">
      <c r="A5559" s="45"/>
    </row>
    <row r="5560" spans="1:1">
      <c r="A5560" s="45"/>
    </row>
    <row r="5561" spans="1:1">
      <c r="A5561" s="45"/>
    </row>
    <row r="5562" spans="1:1">
      <c r="A5562" s="45"/>
    </row>
    <row r="5563" spans="1:1">
      <c r="A5563" s="45"/>
    </row>
    <row r="5564" spans="1:1">
      <c r="A5564" s="45"/>
    </row>
    <row r="5565" spans="1:1">
      <c r="A5565" s="45"/>
    </row>
    <row r="5566" spans="1:1">
      <c r="A5566" s="45"/>
    </row>
    <row r="5567" spans="1:1">
      <c r="A5567" s="45"/>
    </row>
    <row r="5568" spans="1:1">
      <c r="A5568" s="45"/>
    </row>
    <row r="5569" spans="1:1">
      <c r="A5569" s="45"/>
    </row>
    <row r="5570" spans="1:1">
      <c r="A5570" s="45"/>
    </row>
    <row r="5571" spans="1:1">
      <c r="A5571" s="45"/>
    </row>
    <row r="5572" spans="1:1">
      <c r="A5572" s="45"/>
    </row>
    <row r="5573" spans="1:1">
      <c r="A5573" s="45"/>
    </row>
    <row r="5574" spans="1:1">
      <c r="A5574" s="45"/>
    </row>
    <row r="5575" spans="1:1">
      <c r="A5575" s="45"/>
    </row>
    <row r="5576" spans="1:1">
      <c r="A5576" s="45"/>
    </row>
    <row r="5577" spans="1:1">
      <c r="A5577" s="45"/>
    </row>
    <row r="5578" spans="1:1">
      <c r="A5578" s="45"/>
    </row>
    <row r="5579" spans="1:1">
      <c r="A5579" s="45"/>
    </row>
    <row r="5580" spans="1:1">
      <c r="A5580" s="45"/>
    </row>
    <row r="5581" spans="1:1">
      <c r="A5581" s="45"/>
    </row>
    <row r="5582" spans="1:1">
      <c r="A5582" s="45"/>
    </row>
    <row r="5583" spans="1:1">
      <c r="A5583" s="45"/>
    </row>
    <row r="5584" spans="1:1">
      <c r="A5584" s="45"/>
    </row>
    <row r="5585" spans="1:1">
      <c r="A5585" s="45"/>
    </row>
    <row r="5586" spans="1:1">
      <c r="A5586" s="45"/>
    </row>
    <row r="5587" spans="1:1">
      <c r="A5587" s="45"/>
    </row>
    <row r="5588" spans="1:1">
      <c r="A5588" s="45"/>
    </row>
    <row r="5589" spans="1:1">
      <c r="A5589" s="45"/>
    </row>
    <row r="5590" spans="1:1">
      <c r="A5590" s="45"/>
    </row>
    <row r="5591" spans="1:1">
      <c r="A5591" s="45"/>
    </row>
    <row r="5592" spans="1:1">
      <c r="A5592" s="45"/>
    </row>
    <row r="5593" spans="1:1">
      <c r="A5593" s="45"/>
    </row>
    <row r="5594" spans="1:1">
      <c r="A5594" s="45"/>
    </row>
    <row r="5595" spans="1:1">
      <c r="A5595" s="45"/>
    </row>
    <row r="5596" spans="1:1">
      <c r="A5596" s="45"/>
    </row>
    <row r="5597" spans="1:1">
      <c r="A5597" s="45"/>
    </row>
    <row r="5598" spans="1:1">
      <c r="A5598" s="45"/>
    </row>
    <row r="5599" spans="1:1">
      <c r="A5599" s="45"/>
    </row>
    <row r="5600" spans="1:1">
      <c r="A5600" s="45"/>
    </row>
    <row r="5601" spans="1:1">
      <c r="A5601" s="45"/>
    </row>
    <row r="5602" spans="1:1">
      <c r="A5602" s="45"/>
    </row>
    <row r="5603" spans="1:1">
      <c r="A5603" s="45"/>
    </row>
    <row r="5604" spans="1:1">
      <c r="A5604" s="45"/>
    </row>
    <row r="5605" spans="1:1">
      <c r="A5605" s="45"/>
    </row>
    <row r="5606" spans="1:1">
      <c r="A5606" s="45"/>
    </row>
    <row r="5607" spans="1:1">
      <c r="A5607" s="45"/>
    </row>
    <row r="5608" spans="1:1">
      <c r="A5608" s="45"/>
    </row>
    <row r="5609" spans="1:1">
      <c r="A5609" s="45"/>
    </row>
    <row r="5610" spans="1:1">
      <c r="A5610" s="45"/>
    </row>
    <row r="5611" spans="1:1">
      <c r="A5611" s="45"/>
    </row>
    <row r="5612" spans="1:1">
      <c r="A5612" s="45"/>
    </row>
    <row r="5613" spans="1:1">
      <c r="A5613" s="45"/>
    </row>
    <row r="5614" spans="1:1">
      <c r="A5614" s="45"/>
    </row>
    <row r="5615" spans="1:1">
      <c r="A5615" s="45"/>
    </row>
    <row r="5616" spans="1:1">
      <c r="A5616" s="45"/>
    </row>
    <row r="5617" spans="1:1">
      <c r="A5617" s="45"/>
    </row>
    <row r="5618" spans="1:1">
      <c r="A5618" s="45"/>
    </row>
    <row r="5619" spans="1:1">
      <c r="A5619" s="45"/>
    </row>
    <row r="5620" spans="1:1">
      <c r="A5620" s="45"/>
    </row>
    <row r="5621" spans="1:1">
      <c r="A5621" s="45"/>
    </row>
    <row r="5622" spans="1:1">
      <c r="A5622" s="45"/>
    </row>
    <row r="5623" spans="1:1">
      <c r="A5623" s="45"/>
    </row>
    <row r="5624" spans="1:1">
      <c r="A5624" s="45"/>
    </row>
    <row r="5625" spans="1:1">
      <c r="A5625" s="45"/>
    </row>
    <row r="5626" spans="1:1">
      <c r="A5626" s="45"/>
    </row>
    <row r="5627" spans="1:1">
      <c r="A5627" s="45"/>
    </row>
    <row r="5628" spans="1:1">
      <c r="A5628" s="45"/>
    </row>
    <row r="5629" spans="1:1">
      <c r="A5629" s="45"/>
    </row>
    <row r="5630" spans="1:1">
      <c r="A5630" s="45"/>
    </row>
    <row r="5631" spans="1:1">
      <c r="A5631" s="45"/>
    </row>
    <row r="5632" spans="1:1">
      <c r="A5632" s="45"/>
    </row>
    <row r="5633" spans="1:1">
      <c r="A5633" s="45"/>
    </row>
    <row r="5634" spans="1:1">
      <c r="A5634" s="45"/>
    </row>
    <row r="5635" spans="1:1">
      <c r="A5635" s="45"/>
    </row>
    <row r="5636" spans="1:1">
      <c r="A5636" s="45"/>
    </row>
    <row r="5637" spans="1:1">
      <c r="A5637" s="45"/>
    </row>
    <row r="5638" spans="1:1">
      <c r="A5638" s="45"/>
    </row>
    <row r="5639" spans="1:1">
      <c r="A5639" s="45"/>
    </row>
    <row r="5640" spans="1:1">
      <c r="A5640" s="45"/>
    </row>
    <row r="5641" spans="1:1">
      <c r="A5641" s="45"/>
    </row>
    <row r="5642" spans="1:1">
      <c r="A5642" s="45"/>
    </row>
    <row r="5643" spans="1:1">
      <c r="A5643" s="45"/>
    </row>
    <row r="5644" spans="1:1">
      <c r="A5644" s="45"/>
    </row>
    <row r="5645" spans="1:1">
      <c r="A5645" s="45"/>
    </row>
    <row r="5646" spans="1:1">
      <c r="A5646" s="45"/>
    </row>
    <row r="5647" spans="1:1">
      <c r="A5647" s="45"/>
    </row>
    <row r="5648" spans="1:1">
      <c r="A5648" s="45"/>
    </row>
    <row r="5649" spans="1:1">
      <c r="A5649" s="45"/>
    </row>
    <row r="5650" spans="1:1">
      <c r="A5650" s="45"/>
    </row>
    <row r="5651" spans="1:1">
      <c r="A5651" s="45"/>
    </row>
    <row r="5652" spans="1:1">
      <c r="A5652" s="45"/>
    </row>
    <row r="5653" spans="1:1">
      <c r="A5653" s="45"/>
    </row>
    <row r="5654" spans="1:1">
      <c r="A5654" s="45"/>
    </row>
    <row r="5655" spans="1:1">
      <c r="A5655" s="45"/>
    </row>
    <row r="5656" spans="1:1">
      <c r="A5656" s="45"/>
    </row>
    <row r="5657" spans="1:1">
      <c r="A5657" s="45"/>
    </row>
    <row r="5658" spans="1:1">
      <c r="A5658" s="45"/>
    </row>
    <row r="5659" spans="1:1">
      <c r="A5659" s="45"/>
    </row>
    <row r="5660" spans="1:1">
      <c r="A5660" s="45"/>
    </row>
    <row r="5661" spans="1:1">
      <c r="A5661" s="45"/>
    </row>
    <row r="5662" spans="1:1">
      <c r="A5662" s="45"/>
    </row>
    <row r="5663" spans="1:1">
      <c r="A5663" s="45"/>
    </row>
    <row r="5664" spans="1:1">
      <c r="A5664" s="45"/>
    </row>
    <row r="5665" spans="1:1">
      <c r="A5665" s="45"/>
    </row>
    <row r="5666" spans="1:1">
      <c r="A5666" s="45"/>
    </row>
    <row r="5667" spans="1:1">
      <c r="A5667" s="45"/>
    </row>
    <row r="5668" spans="1:1">
      <c r="A5668" s="45"/>
    </row>
    <row r="5669" spans="1:1">
      <c r="A5669" s="45"/>
    </row>
    <row r="5670" spans="1:1">
      <c r="A5670" s="45"/>
    </row>
    <row r="5671" spans="1:1">
      <c r="A5671" s="45"/>
    </row>
    <row r="5672" spans="1:1">
      <c r="A5672" s="45"/>
    </row>
    <row r="5673" spans="1:1">
      <c r="A5673" s="45"/>
    </row>
    <row r="5674" spans="1:1">
      <c r="A5674" s="45"/>
    </row>
    <row r="5675" spans="1:1">
      <c r="A5675" s="45"/>
    </row>
    <row r="5676" spans="1:1">
      <c r="A5676" s="45"/>
    </row>
    <row r="5677" spans="1:1">
      <c r="A5677" s="45"/>
    </row>
    <row r="5678" spans="1:1">
      <c r="A5678" s="45"/>
    </row>
    <row r="5679" spans="1:1">
      <c r="A5679" s="45"/>
    </row>
    <row r="5680" spans="1:1">
      <c r="A5680" s="45"/>
    </row>
    <row r="5681" spans="1:1">
      <c r="A5681" s="45"/>
    </row>
    <row r="5682" spans="1:1">
      <c r="A5682" s="45"/>
    </row>
    <row r="5683" spans="1:1">
      <c r="A5683" s="45"/>
    </row>
    <row r="5684" spans="1:1">
      <c r="A5684" s="45"/>
    </row>
    <row r="5685" spans="1:1">
      <c r="A5685" s="45"/>
    </row>
    <row r="5686" spans="1:1">
      <c r="A5686" s="45"/>
    </row>
    <row r="5687" spans="1:1">
      <c r="A5687" s="45"/>
    </row>
    <row r="5688" spans="1:1">
      <c r="A5688" s="45"/>
    </row>
    <row r="5689" spans="1:1">
      <c r="A5689" s="45"/>
    </row>
    <row r="5690" spans="1:1">
      <c r="A5690" s="45"/>
    </row>
    <row r="5691" spans="1:1">
      <c r="A5691" s="45"/>
    </row>
    <row r="5692" spans="1:1">
      <c r="A5692" s="45"/>
    </row>
    <row r="5693" spans="1:1">
      <c r="A5693" s="45"/>
    </row>
    <row r="5694" spans="1:1">
      <c r="A5694" s="45"/>
    </row>
    <row r="5695" spans="1:1">
      <c r="A5695" s="45"/>
    </row>
    <row r="5696" spans="1:1">
      <c r="A5696" s="45"/>
    </row>
    <row r="5697" spans="1:1">
      <c r="A5697" s="45"/>
    </row>
    <row r="5698" spans="1:1">
      <c r="A5698" s="45"/>
    </row>
    <row r="5699" spans="1:1">
      <c r="A5699" s="45"/>
    </row>
    <row r="5700" spans="1:1">
      <c r="A5700" s="45"/>
    </row>
    <row r="5701" spans="1:1">
      <c r="A5701" s="45"/>
    </row>
    <row r="5702" spans="1:1">
      <c r="A5702" s="45"/>
    </row>
    <row r="5703" spans="1:1">
      <c r="A5703" s="45"/>
    </row>
    <row r="5704" spans="1:1">
      <c r="A5704" s="45"/>
    </row>
    <row r="5705" spans="1:1">
      <c r="A5705" s="45"/>
    </row>
    <row r="5706" spans="1:1">
      <c r="A5706" s="45"/>
    </row>
    <row r="5707" spans="1:1">
      <c r="A5707" s="45"/>
    </row>
    <row r="5708" spans="1:1">
      <c r="A5708" s="45"/>
    </row>
    <row r="5709" spans="1:1">
      <c r="A5709" s="45"/>
    </row>
    <row r="5710" spans="1:1">
      <c r="A5710" s="45"/>
    </row>
    <row r="5711" spans="1:1">
      <c r="A5711" s="45"/>
    </row>
    <row r="5712" spans="1:1">
      <c r="A5712" s="45"/>
    </row>
    <row r="5713" spans="1:1">
      <c r="A5713" s="45"/>
    </row>
    <row r="5714" spans="1:1">
      <c r="A5714" s="45"/>
    </row>
    <row r="5715" spans="1:1">
      <c r="A5715" s="45"/>
    </row>
    <row r="5716" spans="1:1">
      <c r="A5716" s="45"/>
    </row>
    <row r="5717" spans="1:1">
      <c r="A5717" s="45"/>
    </row>
    <row r="5718" spans="1:1">
      <c r="A5718" s="45"/>
    </row>
    <row r="5719" spans="1:1">
      <c r="A5719" s="45"/>
    </row>
    <row r="5720" spans="1:1">
      <c r="A5720" s="45"/>
    </row>
    <row r="5721" spans="1:1">
      <c r="A5721" s="45"/>
    </row>
    <row r="5722" spans="1:1">
      <c r="A5722" s="45"/>
    </row>
    <row r="5723" spans="1:1">
      <c r="A5723" s="45"/>
    </row>
    <row r="5724" spans="1:1">
      <c r="A5724" s="45"/>
    </row>
    <row r="5725" spans="1:1">
      <c r="A5725" s="45"/>
    </row>
    <row r="5726" spans="1:1">
      <c r="A5726" s="45"/>
    </row>
    <row r="5727" spans="1:1">
      <c r="A5727" s="45"/>
    </row>
    <row r="5728" spans="1:1">
      <c r="A5728" s="45"/>
    </row>
    <row r="5729" spans="1:1">
      <c r="A5729" s="45"/>
    </row>
    <row r="5730" spans="1:1">
      <c r="A5730" s="45"/>
    </row>
    <row r="5731" spans="1:1">
      <c r="A5731" s="45"/>
    </row>
    <row r="5732" spans="1:1">
      <c r="A5732" s="45"/>
    </row>
    <row r="5733" spans="1:1">
      <c r="A5733" s="45"/>
    </row>
    <row r="5734" spans="1:1">
      <c r="A5734" s="45"/>
    </row>
    <row r="5735" spans="1:1">
      <c r="A5735" s="45"/>
    </row>
    <row r="5736" spans="1:1">
      <c r="A5736" s="45"/>
    </row>
    <row r="5737" spans="1:1">
      <c r="A5737" s="45"/>
    </row>
    <row r="5738" spans="1:1">
      <c r="A5738" s="45"/>
    </row>
    <row r="5739" spans="1:1">
      <c r="A5739" s="45"/>
    </row>
    <row r="5740" spans="1:1">
      <c r="A5740" s="45"/>
    </row>
    <row r="5741" spans="1:1">
      <c r="A5741" s="45"/>
    </row>
    <row r="5742" spans="1:1">
      <c r="A5742" s="45"/>
    </row>
    <row r="5743" spans="1:1">
      <c r="A5743" s="45"/>
    </row>
    <row r="5744" spans="1:1">
      <c r="A5744" s="45"/>
    </row>
    <row r="5745" spans="1:1">
      <c r="A5745" s="45"/>
    </row>
    <row r="5746" spans="1:1">
      <c r="A5746" s="45"/>
    </row>
    <row r="5747" spans="1:1">
      <c r="A5747" s="45"/>
    </row>
    <row r="5748" spans="1:1">
      <c r="A5748" s="45"/>
    </row>
    <row r="5749" spans="1:1">
      <c r="A5749" s="45"/>
    </row>
    <row r="5750" spans="1:1">
      <c r="A5750" s="45"/>
    </row>
    <row r="5751" spans="1:1">
      <c r="A5751" s="45"/>
    </row>
    <row r="5752" spans="1:1">
      <c r="A5752" s="45"/>
    </row>
    <row r="5753" spans="1:1">
      <c r="A5753" s="45"/>
    </row>
    <row r="5754" spans="1:1">
      <c r="A5754" s="45"/>
    </row>
    <row r="5755" spans="1:1">
      <c r="A5755" s="45"/>
    </row>
    <row r="5756" spans="1:1">
      <c r="A5756" s="45"/>
    </row>
    <row r="5757" spans="1:1">
      <c r="A5757" s="45"/>
    </row>
    <row r="5758" spans="1:1">
      <c r="A5758" s="45"/>
    </row>
    <row r="5759" spans="1:1">
      <c r="A5759" s="45"/>
    </row>
    <row r="5760" spans="1:1">
      <c r="A5760" s="45"/>
    </row>
    <row r="5761" spans="1:1">
      <c r="A5761" s="45"/>
    </row>
    <row r="5762" spans="1:1">
      <c r="A5762" s="45"/>
    </row>
    <row r="5763" spans="1:1">
      <c r="A5763" s="45"/>
    </row>
    <row r="5764" spans="1:1">
      <c r="A5764" s="45"/>
    </row>
    <row r="5765" spans="1:1">
      <c r="A5765" s="45"/>
    </row>
    <row r="5766" spans="1:1">
      <c r="A5766" s="45"/>
    </row>
    <row r="5767" spans="1:1">
      <c r="A5767" s="45"/>
    </row>
    <row r="5768" spans="1:1">
      <c r="A5768" s="45"/>
    </row>
    <row r="5769" spans="1:1">
      <c r="A5769" s="45"/>
    </row>
    <row r="5770" spans="1:1">
      <c r="A5770" s="45"/>
    </row>
    <row r="5771" spans="1:1">
      <c r="A5771" s="45"/>
    </row>
    <row r="5772" spans="1:1">
      <c r="A5772" s="45"/>
    </row>
    <row r="5773" spans="1:1">
      <c r="A5773" s="45"/>
    </row>
    <row r="5774" spans="1:1">
      <c r="A5774" s="45"/>
    </row>
    <row r="5775" spans="1:1">
      <c r="A5775" s="45"/>
    </row>
    <row r="5776" spans="1:1">
      <c r="A5776" s="45"/>
    </row>
    <row r="5777" spans="1:1">
      <c r="A5777" s="45"/>
    </row>
    <row r="5778" spans="1:1">
      <c r="A5778" s="45"/>
    </row>
    <row r="5779" spans="1:1">
      <c r="A5779" s="45"/>
    </row>
    <row r="5780" spans="1:1">
      <c r="A5780" s="45"/>
    </row>
    <row r="5781" spans="1:1">
      <c r="A5781" s="45"/>
    </row>
    <row r="5782" spans="1:1">
      <c r="A5782" s="45"/>
    </row>
    <row r="5783" spans="1:1">
      <c r="A5783" s="45"/>
    </row>
    <row r="5784" spans="1:1">
      <c r="A5784" s="45"/>
    </row>
    <row r="5785" spans="1:1">
      <c r="A5785" s="45"/>
    </row>
    <row r="5786" spans="1:1">
      <c r="A5786" s="45"/>
    </row>
    <row r="5787" spans="1:1">
      <c r="A5787" s="45"/>
    </row>
    <row r="5788" spans="1:1">
      <c r="A5788" s="45"/>
    </row>
    <row r="5789" spans="1:1">
      <c r="A5789" s="45"/>
    </row>
    <row r="5790" spans="1:1">
      <c r="A5790" s="45"/>
    </row>
    <row r="5791" spans="1:1">
      <c r="A5791" s="45"/>
    </row>
    <row r="5792" spans="1:1">
      <c r="A5792" s="45"/>
    </row>
    <row r="5793" spans="1:1">
      <c r="A5793" s="45"/>
    </row>
    <row r="5794" spans="1:1">
      <c r="A5794" s="45"/>
    </row>
    <row r="5795" spans="1:1">
      <c r="A5795" s="45"/>
    </row>
    <row r="5796" spans="1:1">
      <c r="A5796" s="45"/>
    </row>
    <row r="5797" spans="1:1">
      <c r="A5797" s="45"/>
    </row>
    <row r="5798" spans="1:1">
      <c r="A5798" s="45"/>
    </row>
    <row r="5799" spans="1:1">
      <c r="A5799" s="45"/>
    </row>
    <row r="5800" spans="1:1">
      <c r="A5800" s="45"/>
    </row>
    <row r="5801" spans="1:1">
      <c r="A5801" s="45"/>
    </row>
    <row r="5802" spans="1:1">
      <c r="A5802" s="45"/>
    </row>
    <row r="5803" spans="1:1">
      <c r="A5803" s="45"/>
    </row>
    <row r="5804" spans="1:1">
      <c r="A5804" s="45"/>
    </row>
    <row r="5805" spans="1:1">
      <c r="A5805" s="45"/>
    </row>
    <row r="5806" spans="1:1">
      <c r="A5806" s="45"/>
    </row>
    <row r="5807" spans="1:1">
      <c r="A5807" s="45"/>
    </row>
    <row r="5808" spans="1:1">
      <c r="A5808" s="45"/>
    </row>
    <row r="5809" spans="1:1">
      <c r="A5809" s="45"/>
    </row>
    <row r="5810" spans="1:1">
      <c r="A5810" s="45"/>
    </row>
    <row r="5811" spans="1:1">
      <c r="A5811" s="45"/>
    </row>
    <row r="5812" spans="1:1">
      <c r="A5812" s="45"/>
    </row>
    <row r="5813" spans="1:1">
      <c r="A5813" s="45"/>
    </row>
    <row r="5814" spans="1:1">
      <c r="A5814" s="45"/>
    </row>
    <row r="5815" spans="1:1">
      <c r="A5815" s="45"/>
    </row>
    <row r="5816" spans="1:1">
      <c r="A5816" s="45"/>
    </row>
    <row r="5817" spans="1:1">
      <c r="A5817" s="45"/>
    </row>
    <row r="5818" spans="1:1">
      <c r="A5818" s="45"/>
    </row>
    <row r="5819" spans="1:1">
      <c r="A5819" s="45"/>
    </row>
    <row r="5820" spans="1:1">
      <c r="A5820" s="45"/>
    </row>
    <row r="5821" spans="1:1">
      <c r="A5821" s="45"/>
    </row>
    <row r="5822" spans="1:1">
      <c r="A5822" s="45"/>
    </row>
    <row r="5823" spans="1:1">
      <c r="A5823" s="45"/>
    </row>
    <row r="5824" spans="1:1">
      <c r="A5824" s="45"/>
    </row>
    <row r="5825" spans="1:1">
      <c r="A5825" s="45"/>
    </row>
    <row r="5826" spans="1:1">
      <c r="A5826" s="45"/>
    </row>
    <row r="5827" spans="1:1">
      <c r="A5827" s="45"/>
    </row>
    <row r="5828" spans="1:1">
      <c r="A5828" s="45"/>
    </row>
    <row r="5829" spans="1:1">
      <c r="A5829" s="45"/>
    </row>
    <row r="5830" spans="1:1">
      <c r="A5830" s="45"/>
    </row>
    <row r="5831" spans="1:1">
      <c r="A5831" s="45"/>
    </row>
    <row r="5832" spans="1:1">
      <c r="A5832" s="45"/>
    </row>
    <row r="5833" spans="1:1">
      <c r="A5833" s="45"/>
    </row>
    <row r="5834" spans="1:1">
      <c r="A5834" s="45"/>
    </row>
    <row r="5835" spans="1:1">
      <c r="A5835" s="45"/>
    </row>
    <row r="5836" spans="1:1">
      <c r="A5836" s="45"/>
    </row>
    <row r="5837" spans="1:1">
      <c r="A5837" s="45"/>
    </row>
    <row r="5838" spans="1:1">
      <c r="A5838" s="45"/>
    </row>
    <row r="5839" spans="1:1">
      <c r="A5839" s="45"/>
    </row>
    <row r="5840" spans="1:1">
      <c r="A5840" s="45"/>
    </row>
    <row r="5841" spans="1:1">
      <c r="A5841" s="45"/>
    </row>
    <row r="5842" spans="1:1">
      <c r="A5842" s="45"/>
    </row>
    <row r="5843" spans="1:1">
      <c r="A5843" s="45"/>
    </row>
    <row r="5844" spans="1:1">
      <c r="A5844" s="45"/>
    </row>
    <row r="5845" spans="1:1">
      <c r="A5845" s="45"/>
    </row>
    <row r="5846" spans="1:1">
      <c r="A5846" s="45"/>
    </row>
    <row r="5847" spans="1:1">
      <c r="A5847" s="45"/>
    </row>
    <row r="5848" spans="1:1">
      <c r="A5848" s="45"/>
    </row>
    <row r="5849" spans="1:1">
      <c r="A5849" s="45"/>
    </row>
    <row r="5850" spans="1:1">
      <c r="A5850" s="45"/>
    </row>
    <row r="5851" spans="1:1">
      <c r="A5851" s="45"/>
    </row>
    <row r="5852" spans="1:1">
      <c r="A5852" s="45"/>
    </row>
    <row r="5853" spans="1:1">
      <c r="A5853" s="45"/>
    </row>
    <row r="5854" spans="1:1">
      <c r="A5854" s="45"/>
    </row>
    <row r="5855" spans="1:1">
      <c r="A5855" s="45"/>
    </row>
    <row r="5856" spans="1:1">
      <c r="A5856" s="45"/>
    </row>
    <row r="5857" spans="1:1">
      <c r="A5857" s="45"/>
    </row>
    <row r="5858" spans="1:1">
      <c r="A5858" s="45"/>
    </row>
    <row r="5859" spans="1:1">
      <c r="A5859" s="45"/>
    </row>
    <row r="5860" spans="1:1">
      <c r="A5860" s="45"/>
    </row>
    <row r="5861" spans="1:1">
      <c r="A5861" s="45"/>
    </row>
    <row r="5862" spans="1:1">
      <c r="A5862" s="45"/>
    </row>
    <row r="5863" spans="1:1">
      <c r="A5863" s="45"/>
    </row>
    <row r="5864" spans="1:1">
      <c r="A5864" s="45"/>
    </row>
    <row r="5865" spans="1:1">
      <c r="A5865" s="45"/>
    </row>
    <row r="5866" spans="1:1">
      <c r="A5866" s="45"/>
    </row>
    <row r="5867" spans="1:1">
      <c r="A5867" s="45"/>
    </row>
    <row r="5868" spans="1:1">
      <c r="A5868" s="45"/>
    </row>
    <row r="5869" spans="1:1">
      <c r="A5869" s="45"/>
    </row>
    <row r="5870" spans="1:1">
      <c r="A5870" s="45"/>
    </row>
    <row r="5871" spans="1:1">
      <c r="A5871" s="45"/>
    </row>
    <row r="5872" spans="1:1">
      <c r="A5872" s="45"/>
    </row>
    <row r="5873" spans="1:1">
      <c r="A5873" s="45"/>
    </row>
    <row r="5874" spans="1:1">
      <c r="A5874" s="45"/>
    </row>
    <row r="5875" spans="1:1">
      <c r="A5875" s="45"/>
    </row>
    <row r="5876" spans="1:1">
      <c r="A5876" s="45"/>
    </row>
    <row r="5877" spans="1:1">
      <c r="A5877" s="45"/>
    </row>
    <row r="5878" spans="1:1">
      <c r="A5878" s="45"/>
    </row>
    <row r="5879" spans="1:1">
      <c r="A5879" s="45"/>
    </row>
    <row r="5880" spans="1:1">
      <c r="A5880" s="45"/>
    </row>
    <row r="5881" spans="1:1">
      <c r="A5881" s="45"/>
    </row>
    <row r="5882" spans="1:1">
      <c r="A5882" s="45"/>
    </row>
    <row r="5883" spans="1:1">
      <c r="A5883" s="45"/>
    </row>
    <row r="5884" spans="1:1">
      <c r="A5884" s="45"/>
    </row>
    <row r="5885" spans="1:1">
      <c r="A5885" s="45"/>
    </row>
    <row r="5886" spans="1:1">
      <c r="A5886" s="45"/>
    </row>
    <row r="5887" spans="1:1">
      <c r="A5887" s="45"/>
    </row>
    <row r="5888" spans="1:1">
      <c r="A5888" s="45"/>
    </row>
    <row r="5889" spans="1:1">
      <c r="A5889" s="45"/>
    </row>
    <row r="5890" spans="1:1">
      <c r="A5890" s="45"/>
    </row>
    <row r="5891" spans="1:1">
      <c r="A5891" s="45"/>
    </row>
    <row r="5892" spans="1:1">
      <c r="A5892" s="45"/>
    </row>
    <row r="5893" spans="1:1">
      <c r="A5893" s="45"/>
    </row>
    <row r="5894" spans="1:1">
      <c r="A5894" s="45"/>
    </row>
    <row r="5895" spans="1:1">
      <c r="A5895" s="45"/>
    </row>
    <row r="5896" spans="1:1">
      <c r="A5896" s="45"/>
    </row>
    <row r="5897" spans="1:1">
      <c r="A5897" s="45"/>
    </row>
    <row r="5898" spans="1:1">
      <c r="A5898" s="45"/>
    </row>
    <row r="5899" spans="1:1">
      <c r="A5899" s="45"/>
    </row>
    <row r="5900" spans="1:1">
      <c r="A5900" s="45"/>
    </row>
    <row r="5901" spans="1:1">
      <c r="A5901" s="45"/>
    </row>
    <row r="5902" spans="1:1">
      <c r="A5902" s="45"/>
    </row>
    <row r="5903" spans="1:1">
      <c r="A5903" s="45"/>
    </row>
    <row r="5904" spans="1:1">
      <c r="A5904" s="45"/>
    </row>
    <row r="5905" spans="1:1">
      <c r="A5905" s="45"/>
    </row>
    <row r="5906" spans="1:1">
      <c r="A5906" s="45"/>
    </row>
    <row r="5907" spans="1:1">
      <c r="A5907" s="45"/>
    </row>
    <row r="5908" spans="1:1">
      <c r="A5908" s="45"/>
    </row>
    <row r="5909" spans="1:1">
      <c r="A5909" s="45"/>
    </row>
    <row r="5910" spans="1:1">
      <c r="A5910" s="45"/>
    </row>
    <row r="5911" spans="1:1">
      <c r="A5911" s="45"/>
    </row>
    <row r="5912" spans="1:1">
      <c r="A5912" s="45"/>
    </row>
    <row r="5913" spans="1:1">
      <c r="A5913" s="45"/>
    </row>
    <row r="5914" spans="1:1">
      <c r="A5914" s="45"/>
    </row>
    <row r="5915" spans="1:1">
      <c r="A5915" s="45"/>
    </row>
    <row r="5916" spans="1:1">
      <c r="A5916" s="45"/>
    </row>
    <row r="5917" spans="1:1">
      <c r="A5917" s="45"/>
    </row>
    <row r="5918" spans="1:1">
      <c r="A5918" s="45"/>
    </row>
    <row r="5919" spans="1:1">
      <c r="A5919" s="45"/>
    </row>
    <row r="5920" spans="1:1">
      <c r="A5920" s="45"/>
    </row>
    <row r="5921" spans="1:1">
      <c r="A5921" s="45"/>
    </row>
    <row r="5922" spans="1:1">
      <c r="A5922" s="45"/>
    </row>
    <row r="5923" spans="1:1">
      <c r="A5923" s="45"/>
    </row>
    <row r="5924" spans="1:1">
      <c r="A5924" s="45"/>
    </row>
    <row r="5925" spans="1:1">
      <c r="A5925" s="45"/>
    </row>
    <row r="5926" spans="1:1">
      <c r="A5926" s="45"/>
    </row>
    <row r="5927" spans="1:1">
      <c r="A5927" s="45"/>
    </row>
    <row r="5928" spans="1:1">
      <c r="A5928" s="45"/>
    </row>
    <row r="5929" spans="1:1">
      <c r="A5929" s="45"/>
    </row>
    <row r="5930" spans="1:1">
      <c r="A5930" s="45"/>
    </row>
    <row r="5931" spans="1:1">
      <c r="A5931" s="45"/>
    </row>
    <row r="5932" spans="1:1">
      <c r="A5932" s="45"/>
    </row>
    <row r="5933" spans="1:1">
      <c r="A5933" s="45"/>
    </row>
    <row r="5934" spans="1:1">
      <c r="A5934" s="45"/>
    </row>
    <row r="5935" spans="1:1">
      <c r="A5935" s="45"/>
    </row>
    <row r="5936" spans="1:1">
      <c r="A5936" s="45"/>
    </row>
    <row r="5937" spans="1:1">
      <c r="A5937" s="45"/>
    </row>
    <row r="5938" spans="1:1">
      <c r="A5938" s="45"/>
    </row>
    <row r="5939" spans="1:1">
      <c r="A5939" s="45"/>
    </row>
    <row r="5940" spans="1:1">
      <c r="A5940" s="45"/>
    </row>
    <row r="5941" spans="1:1">
      <c r="A5941" s="45"/>
    </row>
    <row r="5942" spans="1:1">
      <c r="A5942" s="45"/>
    </row>
    <row r="5943" spans="1:1">
      <c r="A5943" s="45"/>
    </row>
    <row r="5944" spans="1:1">
      <c r="A5944" s="45"/>
    </row>
    <row r="5945" spans="1:1">
      <c r="A5945" s="45"/>
    </row>
    <row r="5946" spans="1:1">
      <c r="A5946" s="45"/>
    </row>
    <row r="5947" spans="1:1">
      <c r="A5947" s="45"/>
    </row>
    <row r="5948" spans="1:1">
      <c r="A5948" s="45"/>
    </row>
    <row r="5949" spans="1:1">
      <c r="A5949" s="45"/>
    </row>
    <row r="5950" spans="1:1">
      <c r="A5950" s="45"/>
    </row>
    <row r="5951" spans="1:1">
      <c r="A5951" s="45"/>
    </row>
    <row r="5952" spans="1:1">
      <c r="A5952" s="45"/>
    </row>
    <row r="5953" spans="1:1">
      <c r="A5953" s="45"/>
    </row>
    <row r="5954" spans="1:1">
      <c r="A5954" s="45"/>
    </row>
    <row r="5955" spans="1:1">
      <c r="A5955" s="45"/>
    </row>
    <row r="5956" spans="1:1">
      <c r="A5956" s="45"/>
    </row>
    <row r="5957" spans="1:1">
      <c r="A5957" s="45"/>
    </row>
    <row r="5958" spans="1:1">
      <c r="A5958" s="45"/>
    </row>
    <row r="5959" spans="1:1">
      <c r="A5959" s="45"/>
    </row>
    <row r="5960" spans="1:1">
      <c r="A5960" s="45"/>
    </row>
    <row r="5961" spans="1:1">
      <c r="A5961" s="45"/>
    </row>
    <row r="5962" spans="1:1">
      <c r="A5962" s="45"/>
    </row>
    <row r="5963" spans="1:1">
      <c r="A5963" s="45"/>
    </row>
    <row r="5964" spans="1:1">
      <c r="A5964" s="45"/>
    </row>
    <row r="5965" spans="1:1">
      <c r="A5965" s="45"/>
    </row>
    <row r="5966" spans="1:1">
      <c r="A5966" s="45"/>
    </row>
    <row r="5967" spans="1:1">
      <c r="A5967" s="45"/>
    </row>
    <row r="5968" spans="1:1">
      <c r="A5968" s="45"/>
    </row>
    <row r="5969" spans="1:1">
      <c r="A5969" s="45"/>
    </row>
    <row r="5970" spans="1:1">
      <c r="A5970" s="45"/>
    </row>
    <row r="5971" spans="1:1">
      <c r="A5971" s="45"/>
    </row>
    <row r="5972" spans="1:1">
      <c r="A5972" s="45"/>
    </row>
    <row r="5973" spans="1:1">
      <c r="A5973" s="45"/>
    </row>
    <row r="5974" spans="1:1">
      <c r="A5974" s="45"/>
    </row>
    <row r="5975" spans="1:1">
      <c r="A5975" s="45"/>
    </row>
    <row r="5976" spans="1:1">
      <c r="A5976" s="45"/>
    </row>
    <row r="5977" spans="1:1">
      <c r="A5977" s="45"/>
    </row>
    <row r="5978" spans="1:1">
      <c r="A5978" s="45"/>
    </row>
    <row r="5979" spans="1:1">
      <c r="A5979" s="45"/>
    </row>
    <row r="5980" spans="1:1">
      <c r="A5980" s="45"/>
    </row>
    <row r="5981" spans="1:1">
      <c r="A5981" s="45"/>
    </row>
    <row r="5982" spans="1:1">
      <c r="A5982" s="45"/>
    </row>
    <row r="5983" spans="1:1">
      <c r="A5983" s="45"/>
    </row>
    <row r="5984" spans="1:1">
      <c r="A5984" s="45"/>
    </row>
    <row r="5985" spans="1:1">
      <c r="A5985" s="45"/>
    </row>
    <row r="5986" spans="1:1">
      <c r="A5986" s="45"/>
    </row>
    <row r="5987" spans="1:1">
      <c r="A5987" s="45"/>
    </row>
    <row r="5988" spans="1:1">
      <c r="A5988" s="45"/>
    </row>
    <row r="5989" spans="1:1">
      <c r="A5989" s="45"/>
    </row>
    <row r="5990" spans="1:1">
      <c r="A5990" s="45"/>
    </row>
    <row r="5991" spans="1:1">
      <c r="A5991" s="45"/>
    </row>
    <row r="5992" spans="1:1">
      <c r="A5992" s="45"/>
    </row>
    <row r="5993" spans="1:1">
      <c r="A5993" s="45"/>
    </row>
    <row r="5994" spans="1:1">
      <c r="A5994" s="45"/>
    </row>
    <row r="5995" spans="1:1">
      <c r="A5995" s="45"/>
    </row>
    <row r="5996" spans="1:1">
      <c r="A5996" s="45"/>
    </row>
    <row r="5997" spans="1:1">
      <c r="A5997" s="45"/>
    </row>
    <row r="5998" spans="1:1">
      <c r="A5998" s="45"/>
    </row>
    <row r="5999" spans="1:1">
      <c r="A5999" s="45"/>
    </row>
    <row r="6000" spans="1:1">
      <c r="A6000" s="45"/>
    </row>
    <row r="6001" spans="1:1">
      <c r="A6001" s="45"/>
    </row>
    <row r="6002" spans="1:1">
      <c r="A6002" s="45"/>
    </row>
    <row r="6003" spans="1:1">
      <c r="A6003" s="45"/>
    </row>
    <row r="6004" spans="1:1">
      <c r="A6004" s="45"/>
    </row>
    <row r="6005" spans="1:1">
      <c r="A6005" s="45"/>
    </row>
    <row r="6006" spans="1:1">
      <c r="A6006" s="45"/>
    </row>
    <row r="6007" spans="1:1">
      <c r="A6007" s="45"/>
    </row>
    <row r="6008" spans="1:1">
      <c r="A6008" s="45"/>
    </row>
    <row r="6009" spans="1:1">
      <c r="A6009" s="45"/>
    </row>
    <row r="6010" spans="1:1">
      <c r="A6010" s="45"/>
    </row>
    <row r="6011" spans="1:1">
      <c r="A6011" s="45"/>
    </row>
    <row r="6012" spans="1:1">
      <c r="A6012" s="45"/>
    </row>
    <row r="6013" spans="1:1">
      <c r="A6013" s="45"/>
    </row>
    <row r="6014" spans="1:1">
      <c r="A6014" s="45"/>
    </row>
    <row r="6015" spans="1:1">
      <c r="A6015" s="45"/>
    </row>
    <row r="6016" spans="1:1">
      <c r="A6016" s="45"/>
    </row>
    <row r="6017" spans="1:1">
      <c r="A6017" s="45"/>
    </row>
    <row r="6018" spans="1:1">
      <c r="A6018" s="45"/>
    </row>
    <row r="6019" spans="1:1">
      <c r="A6019" s="45"/>
    </row>
    <row r="6020" spans="1:1">
      <c r="A6020" s="45"/>
    </row>
    <row r="6021" spans="1:1">
      <c r="A6021" s="45"/>
    </row>
    <row r="6022" spans="1:1">
      <c r="A6022" s="45"/>
    </row>
    <row r="6023" spans="1:1">
      <c r="A6023" s="45"/>
    </row>
    <row r="6024" spans="1:1">
      <c r="A6024" s="45"/>
    </row>
    <row r="6025" spans="1:1">
      <c r="A6025" s="45"/>
    </row>
    <row r="6026" spans="1:1">
      <c r="A6026" s="45"/>
    </row>
    <row r="6027" spans="1:1">
      <c r="A6027" s="45"/>
    </row>
    <row r="6028" spans="1:1">
      <c r="A6028" s="45"/>
    </row>
    <row r="6029" spans="1:1">
      <c r="A6029" s="45"/>
    </row>
    <row r="6030" spans="1:1">
      <c r="A6030" s="45"/>
    </row>
    <row r="6031" spans="1:1">
      <c r="A6031" s="45"/>
    </row>
    <row r="6032" spans="1:1">
      <c r="A6032" s="45"/>
    </row>
    <row r="6033" spans="1:1">
      <c r="A6033" s="45"/>
    </row>
    <row r="6034" spans="1:1">
      <c r="A6034" s="45"/>
    </row>
    <row r="6035" spans="1:1">
      <c r="A6035" s="45"/>
    </row>
    <row r="6036" spans="1:1">
      <c r="A6036" s="45"/>
    </row>
    <row r="6037" spans="1:1">
      <c r="A6037" s="45"/>
    </row>
    <row r="6038" spans="1:1">
      <c r="A6038" s="45"/>
    </row>
    <row r="6039" spans="1:1">
      <c r="A6039" s="45"/>
    </row>
    <row r="6040" spans="1:1">
      <c r="A6040" s="45"/>
    </row>
    <row r="6041" spans="1:1">
      <c r="A6041" s="45"/>
    </row>
    <row r="6042" spans="1:1">
      <c r="A6042" s="45"/>
    </row>
    <row r="6043" spans="1:1">
      <c r="A6043" s="45"/>
    </row>
    <row r="6044" spans="1:1">
      <c r="A6044" s="45"/>
    </row>
    <row r="6045" spans="1:1">
      <c r="A6045" s="45"/>
    </row>
    <row r="6046" spans="1:1">
      <c r="A6046" s="45"/>
    </row>
    <row r="6047" spans="1:1">
      <c r="A6047" s="45"/>
    </row>
    <row r="6048" spans="1:1">
      <c r="A6048" s="45"/>
    </row>
    <row r="6049" spans="1:1">
      <c r="A6049" s="45"/>
    </row>
    <row r="6050" spans="1:1">
      <c r="A6050" s="45"/>
    </row>
    <row r="6051" spans="1:1">
      <c r="A6051" s="45"/>
    </row>
    <row r="6052" spans="1:1">
      <c r="A6052" s="45"/>
    </row>
    <row r="6053" spans="1:1">
      <c r="A6053" s="45"/>
    </row>
    <row r="6054" spans="1:1">
      <c r="A6054" s="45"/>
    </row>
    <row r="6055" spans="1:1">
      <c r="A6055" s="45"/>
    </row>
    <row r="6056" spans="1:1">
      <c r="A6056" s="45"/>
    </row>
    <row r="6057" spans="1:1">
      <c r="A6057" s="45"/>
    </row>
    <row r="6058" spans="1:1">
      <c r="A6058" s="45"/>
    </row>
    <row r="6059" spans="1:1">
      <c r="A6059" s="45"/>
    </row>
    <row r="6060" spans="1:1">
      <c r="A6060" s="45"/>
    </row>
    <row r="6061" spans="1:1">
      <c r="A6061" s="45"/>
    </row>
    <row r="6062" spans="1:1">
      <c r="A6062" s="45"/>
    </row>
    <row r="6063" spans="1:1">
      <c r="A6063" s="45"/>
    </row>
    <row r="6064" spans="1:1">
      <c r="A6064" s="45"/>
    </row>
    <row r="6065" spans="1:1">
      <c r="A6065" s="45"/>
    </row>
    <row r="6066" spans="1:1">
      <c r="A6066" s="45"/>
    </row>
    <row r="6067" spans="1:1">
      <c r="A6067" s="45"/>
    </row>
    <row r="6068" spans="1:1">
      <c r="A6068" s="45"/>
    </row>
    <row r="6069" spans="1:1">
      <c r="A6069" s="45"/>
    </row>
    <row r="6070" spans="1:1">
      <c r="A6070" s="45"/>
    </row>
    <row r="6071" spans="1:1">
      <c r="A6071" s="45"/>
    </row>
    <row r="6072" spans="1:1">
      <c r="A6072" s="45"/>
    </row>
    <row r="6073" spans="1:1">
      <c r="A6073" s="45"/>
    </row>
    <row r="6074" spans="1:1">
      <c r="A6074" s="45"/>
    </row>
    <row r="6075" spans="1:1">
      <c r="A6075" s="45"/>
    </row>
    <row r="6076" spans="1:1">
      <c r="A6076" s="45"/>
    </row>
    <row r="6077" spans="1:1">
      <c r="A6077" s="45"/>
    </row>
    <row r="6078" spans="1:1">
      <c r="A6078" s="45"/>
    </row>
    <row r="6079" spans="1:1">
      <c r="A6079" s="45"/>
    </row>
    <row r="6080" spans="1:1">
      <c r="A6080" s="45"/>
    </row>
    <row r="6081" spans="1:1">
      <c r="A6081" s="45"/>
    </row>
    <row r="6082" spans="1:1">
      <c r="A6082" s="45"/>
    </row>
    <row r="6083" spans="1:1">
      <c r="A6083" s="45"/>
    </row>
    <row r="6084" spans="1:1">
      <c r="A6084" s="45"/>
    </row>
    <row r="6085" spans="1:1">
      <c r="A6085" s="45"/>
    </row>
    <row r="6086" spans="1:1">
      <c r="A6086" s="45"/>
    </row>
    <row r="6087" spans="1:1">
      <c r="A6087" s="45"/>
    </row>
    <row r="6088" spans="1:1">
      <c r="A6088" s="45"/>
    </row>
    <row r="6089" spans="1:1">
      <c r="A6089" s="45"/>
    </row>
    <row r="6090" spans="1:1">
      <c r="A6090" s="45"/>
    </row>
    <row r="6091" spans="1:1">
      <c r="A6091" s="45"/>
    </row>
    <row r="6092" spans="1:1">
      <c r="A6092" s="45"/>
    </row>
    <row r="6093" spans="1:1">
      <c r="A6093" s="45"/>
    </row>
    <row r="6094" spans="1:1">
      <c r="A6094" s="45"/>
    </row>
    <row r="6095" spans="1:1">
      <c r="A6095" s="45"/>
    </row>
    <row r="6096" spans="1:1">
      <c r="A6096" s="45"/>
    </row>
    <row r="6097" spans="1:1">
      <c r="A6097" s="45"/>
    </row>
    <row r="6098" spans="1:1">
      <c r="A6098" s="45"/>
    </row>
    <row r="6099" spans="1:1">
      <c r="A6099" s="45"/>
    </row>
    <row r="6100" spans="1:1">
      <c r="A6100" s="45"/>
    </row>
    <row r="6101" spans="1:1">
      <c r="A6101" s="45"/>
    </row>
    <row r="6102" spans="1:1">
      <c r="A6102" s="45"/>
    </row>
    <row r="6103" spans="1:1">
      <c r="A6103" s="45"/>
    </row>
    <row r="6104" spans="1:1">
      <c r="A6104" s="45"/>
    </row>
    <row r="6105" spans="1:1">
      <c r="A6105" s="45"/>
    </row>
    <row r="6106" spans="1:1">
      <c r="A6106" s="45"/>
    </row>
    <row r="6107" spans="1:1">
      <c r="A6107" s="45"/>
    </row>
    <row r="6108" spans="1:1">
      <c r="A6108" s="45"/>
    </row>
    <row r="6109" spans="1:1">
      <c r="A6109" s="45"/>
    </row>
    <row r="6110" spans="1:1">
      <c r="A6110" s="45"/>
    </row>
    <row r="6111" spans="1:1">
      <c r="A6111" s="45"/>
    </row>
    <row r="6112" spans="1:1">
      <c r="A6112" s="45"/>
    </row>
    <row r="6113" spans="1:1">
      <c r="A6113" s="45"/>
    </row>
    <row r="6114" spans="1:1">
      <c r="A6114" s="45"/>
    </row>
    <row r="6115" spans="1:1">
      <c r="A6115" s="45"/>
    </row>
    <row r="6116" spans="1:1">
      <c r="A6116" s="45"/>
    </row>
    <row r="6117" spans="1:1">
      <c r="A6117" s="45"/>
    </row>
    <row r="6118" spans="1:1">
      <c r="A6118" s="45"/>
    </row>
    <row r="6119" spans="1:1">
      <c r="A6119" s="45"/>
    </row>
    <row r="6120" spans="1:1">
      <c r="A6120" s="45"/>
    </row>
    <row r="6121" spans="1:1">
      <c r="A6121" s="45"/>
    </row>
    <row r="6122" spans="1:1">
      <c r="A6122" s="45"/>
    </row>
    <row r="6123" spans="1:1">
      <c r="A6123" s="45"/>
    </row>
    <row r="6124" spans="1:1">
      <c r="A6124" s="45"/>
    </row>
    <row r="6125" spans="1:1">
      <c r="A6125" s="45"/>
    </row>
    <row r="6126" spans="1:1">
      <c r="A6126" s="45"/>
    </row>
    <row r="6127" spans="1:1">
      <c r="A6127" s="45"/>
    </row>
    <row r="6128" spans="1:1">
      <c r="A6128" s="45"/>
    </row>
    <row r="6129" spans="1:1">
      <c r="A6129" s="45"/>
    </row>
    <row r="6130" spans="1:1">
      <c r="A6130" s="45"/>
    </row>
    <row r="6131" spans="1:1">
      <c r="A6131" s="45"/>
    </row>
    <row r="6132" spans="1:1">
      <c r="A6132" s="45"/>
    </row>
    <row r="6133" spans="1:1">
      <c r="A6133" s="45"/>
    </row>
    <row r="6134" spans="1:1">
      <c r="A6134" s="45"/>
    </row>
    <row r="6135" spans="1:1">
      <c r="A6135" s="45"/>
    </row>
    <row r="6136" spans="1:1">
      <c r="A6136" s="45"/>
    </row>
    <row r="6137" spans="1:1">
      <c r="A6137" s="45"/>
    </row>
    <row r="6138" spans="1:1">
      <c r="A6138" s="45"/>
    </row>
    <row r="6139" spans="1:1">
      <c r="A6139" s="45"/>
    </row>
    <row r="6140" spans="1:1">
      <c r="A6140" s="45"/>
    </row>
    <row r="6141" spans="1:1">
      <c r="A6141" s="45"/>
    </row>
    <row r="6142" spans="1:1">
      <c r="A6142" s="45"/>
    </row>
    <row r="6143" spans="1:1">
      <c r="A6143" s="45"/>
    </row>
    <row r="6144" spans="1:1">
      <c r="A6144" s="45"/>
    </row>
    <row r="6145" spans="1:1">
      <c r="A6145" s="45"/>
    </row>
    <row r="6146" spans="1:1">
      <c r="A6146" s="45"/>
    </row>
    <row r="6147" spans="1:1">
      <c r="A6147" s="45"/>
    </row>
    <row r="6148" spans="1:1">
      <c r="A6148" s="45"/>
    </row>
    <row r="6149" spans="1:1">
      <c r="A6149" s="45"/>
    </row>
    <row r="6150" spans="1:1">
      <c r="A6150" s="45"/>
    </row>
    <row r="6151" spans="1:1">
      <c r="A6151" s="45"/>
    </row>
    <row r="6152" spans="1:1">
      <c r="A6152" s="45"/>
    </row>
    <row r="6153" spans="1:1">
      <c r="A6153" s="45"/>
    </row>
    <row r="6154" spans="1:1">
      <c r="A6154" s="45"/>
    </row>
    <row r="6155" spans="1:1">
      <c r="A6155" s="45"/>
    </row>
    <row r="6156" spans="1:1">
      <c r="A6156" s="45"/>
    </row>
    <row r="6157" spans="1:1">
      <c r="A6157" s="45"/>
    </row>
    <row r="6158" spans="1:1">
      <c r="A6158" s="45"/>
    </row>
    <row r="6159" spans="1:1">
      <c r="A6159" s="45"/>
    </row>
    <row r="6160" spans="1:1">
      <c r="A6160" s="45"/>
    </row>
    <row r="6161" spans="1:1">
      <c r="A6161" s="45"/>
    </row>
    <row r="6162" spans="1:1">
      <c r="A6162" s="45"/>
    </row>
    <row r="6163" spans="1:1">
      <c r="A6163" s="45"/>
    </row>
    <row r="6164" spans="1:1">
      <c r="A6164" s="45"/>
    </row>
    <row r="6165" spans="1:1">
      <c r="A6165" s="45"/>
    </row>
    <row r="6166" spans="1:1">
      <c r="A6166" s="45"/>
    </row>
    <row r="6167" spans="1:1">
      <c r="A6167" s="45"/>
    </row>
    <row r="6168" spans="1:1">
      <c r="A6168" s="45"/>
    </row>
    <row r="6169" spans="1:1">
      <c r="A6169" s="45"/>
    </row>
    <row r="6170" spans="1:1">
      <c r="A6170" s="45"/>
    </row>
    <row r="6171" spans="1:1">
      <c r="A6171" s="45"/>
    </row>
    <row r="6172" spans="1:1">
      <c r="A6172" s="45"/>
    </row>
    <row r="6173" spans="1:1">
      <c r="A6173" s="45"/>
    </row>
    <row r="6174" spans="1:1">
      <c r="A6174" s="45"/>
    </row>
    <row r="6175" spans="1:1">
      <c r="A6175" s="45"/>
    </row>
    <row r="6176" spans="1:1">
      <c r="A6176" s="45"/>
    </row>
    <row r="6177" spans="1:1">
      <c r="A6177" s="45"/>
    </row>
    <row r="6178" spans="1:1">
      <c r="A6178" s="45"/>
    </row>
    <row r="6179" spans="1:1">
      <c r="A6179" s="45"/>
    </row>
    <row r="6180" spans="1:1">
      <c r="A6180" s="45"/>
    </row>
    <row r="6181" spans="1:1">
      <c r="A6181" s="45"/>
    </row>
    <row r="6182" spans="1:1">
      <c r="A6182" s="45"/>
    </row>
    <row r="6183" spans="1:1">
      <c r="A6183" s="45"/>
    </row>
    <row r="6184" spans="1:1">
      <c r="A6184" s="45"/>
    </row>
    <row r="6185" spans="1:1">
      <c r="A6185" s="45"/>
    </row>
    <row r="6186" spans="1:1">
      <c r="A6186" s="45"/>
    </row>
    <row r="6187" spans="1:1">
      <c r="A6187" s="45"/>
    </row>
    <row r="6188" spans="1:1">
      <c r="A6188" s="45"/>
    </row>
    <row r="6189" spans="1:1">
      <c r="A6189" s="45"/>
    </row>
    <row r="6190" spans="1:1">
      <c r="A6190" s="45"/>
    </row>
    <row r="6191" spans="1:1">
      <c r="A6191" s="45"/>
    </row>
    <row r="6192" spans="1:1">
      <c r="A6192" s="45"/>
    </row>
    <row r="6193" spans="1:1">
      <c r="A6193" s="45"/>
    </row>
    <row r="6194" spans="1:1">
      <c r="A6194" s="45"/>
    </row>
    <row r="6195" spans="1:1">
      <c r="A6195" s="45"/>
    </row>
    <row r="6196" spans="1:1">
      <c r="A6196" s="45"/>
    </row>
    <row r="6197" spans="1:1">
      <c r="A6197" s="45"/>
    </row>
    <row r="6198" spans="1:1">
      <c r="A6198" s="45"/>
    </row>
    <row r="6199" spans="1:1">
      <c r="A6199" s="45"/>
    </row>
    <row r="6200" spans="1:1">
      <c r="A6200" s="45"/>
    </row>
    <row r="6201" spans="1:1">
      <c r="A6201" s="45"/>
    </row>
    <row r="6202" spans="1:1">
      <c r="A6202" s="45"/>
    </row>
    <row r="6203" spans="1:1">
      <c r="A6203" s="45"/>
    </row>
    <row r="6204" spans="1:1">
      <c r="A6204" s="45"/>
    </row>
    <row r="6205" spans="1:1">
      <c r="A6205" s="45"/>
    </row>
    <row r="6206" spans="1:1">
      <c r="A6206" s="45"/>
    </row>
    <row r="6207" spans="1:1">
      <c r="A6207" s="45"/>
    </row>
    <row r="6208" spans="1:1">
      <c r="A6208" s="45"/>
    </row>
    <row r="6209" spans="1:1">
      <c r="A6209" s="45"/>
    </row>
    <row r="6210" spans="1:1">
      <c r="A6210" s="45"/>
    </row>
    <row r="6211" spans="1:1">
      <c r="A6211" s="45"/>
    </row>
    <row r="6212" spans="1:1">
      <c r="A6212" s="45"/>
    </row>
    <row r="6213" spans="1:1">
      <c r="A6213" s="45"/>
    </row>
    <row r="6214" spans="1:1">
      <c r="A6214" s="45"/>
    </row>
    <row r="6215" spans="1:1">
      <c r="A6215" s="45"/>
    </row>
    <row r="6216" spans="1:1">
      <c r="A6216" s="45"/>
    </row>
    <row r="6217" spans="1:1">
      <c r="A6217" s="45"/>
    </row>
    <row r="6218" spans="1:1">
      <c r="A6218" s="45"/>
    </row>
    <row r="6219" spans="1:1">
      <c r="A6219" s="45"/>
    </row>
    <row r="6220" spans="1:1">
      <c r="A6220" s="45"/>
    </row>
    <row r="6221" spans="1:1">
      <c r="A6221" s="45"/>
    </row>
    <row r="6222" spans="1:1">
      <c r="A6222" s="45"/>
    </row>
    <row r="6223" spans="1:1">
      <c r="A6223" s="45"/>
    </row>
    <row r="6224" spans="1:1">
      <c r="A6224" s="45"/>
    </row>
    <row r="6225" spans="1:1">
      <c r="A6225" s="45"/>
    </row>
    <row r="6226" spans="1:1">
      <c r="A6226" s="45"/>
    </row>
    <row r="6227" spans="1:1">
      <c r="A6227" s="45"/>
    </row>
    <row r="6228" spans="1:1">
      <c r="A6228" s="45"/>
    </row>
    <row r="6229" spans="1:1">
      <c r="A6229" s="45"/>
    </row>
    <row r="6230" spans="1:1">
      <c r="A6230" s="45"/>
    </row>
    <row r="6231" spans="1:1">
      <c r="A6231" s="45"/>
    </row>
    <row r="6232" spans="1:1">
      <c r="A6232" s="45"/>
    </row>
    <row r="6233" spans="1:1">
      <c r="A6233" s="45"/>
    </row>
    <row r="6234" spans="1:1">
      <c r="A6234" s="45"/>
    </row>
    <row r="6235" spans="1:1">
      <c r="A6235" s="45"/>
    </row>
    <row r="6236" spans="1:1">
      <c r="A6236" s="45"/>
    </row>
    <row r="6237" spans="1:1">
      <c r="A6237" s="45"/>
    </row>
    <row r="6238" spans="1:1">
      <c r="A6238" s="45"/>
    </row>
    <row r="6239" spans="1:1">
      <c r="A6239" s="45"/>
    </row>
    <row r="6240" spans="1:1">
      <c r="A6240" s="45"/>
    </row>
    <row r="6241" spans="1:1">
      <c r="A6241" s="45"/>
    </row>
    <row r="6242" spans="1:1">
      <c r="A6242" s="45"/>
    </row>
    <row r="6243" spans="1:1">
      <c r="A6243" s="45"/>
    </row>
    <row r="6244" spans="1:1">
      <c r="A6244" s="45"/>
    </row>
    <row r="6245" spans="1:1">
      <c r="A6245" s="45"/>
    </row>
    <row r="6246" spans="1:1">
      <c r="A6246" s="45"/>
    </row>
    <row r="6247" spans="1:1">
      <c r="A6247" s="45"/>
    </row>
    <row r="6248" spans="1:1">
      <c r="A6248" s="45"/>
    </row>
    <row r="6249" spans="1:1">
      <c r="A6249" s="45"/>
    </row>
    <row r="6250" spans="1:1">
      <c r="A6250" s="45"/>
    </row>
    <row r="6251" spans="1:1">
      <c r="A6251" s="45"/>
    </row>
    <row r="6252" spans="1:1">
      <c r="A6252" s="45"/>
    </row>
    <row r="6253" spans="1:1">
      <c r="A6253" s="45"/>
    </row>
    <row r="6254" spans="1:1">
      <c r="A6254" s="45"/>
    </row>
    <row r="6255" spans="1:1">
      <c r="A6255" s="45"/>
    </row>
    <row r="6256" spans="1:1">
      <c r="A6256" s="45"/>
    </row>
    <row r="6257" spans="1:1">
      <c r="A6257" s="45"/>
    </row>
    <row r="6258" spans="1:1">
      <c r="A6258" s="45"/>
    </row>
    <row r="6259" spans="1:1">
      <c r="A6259" s="45"/>
    </row>
    <row r="6260" spans="1:1">
      <c r="A6260" s="45"/>
    </row>
    <row r="6261" spans="1:1">
      <c r="A6261" s="45"/>
    </row>
    <row r="6262" spans="1:1">
      <c r="A6262" s="45"/>
    </row>
    <row r="6263" spans="1:1">
      <c r="A6263" s="45"/>
    </row>
    <row r="6264" spans="1:1">
      <c r="A6264" s="45"/>
    </row>
    <row r="6265" spans="1:1">
      <c r="A6265" s="45"/>
    </row>
    <row r="6266" spans="1:1">
      <c r="A6266" s="45"/>
    </row>
    <row r="6267" spans="1:1">
      <c r="A6267" s="45"/>
    </row>
    <row r="6268" spans="1:1">
      <c r="A6268" s="45"/>
    </row>
    <row r="6269" spans="1:1">
      <c r="A6269" s="45"/>
    </row>
    <row r="6270" spans="1:1">
      <c r="A6270" s="45"/>
    </row>
    <row r="6271" spans="1:1">
      <c r="A6271" s="45"/>
    </row>
    <row r="6272" spans="1:1">
      <c r="A6272" s="45"/>
    </row>
    <row r="6273" spans="1:1">
      <c r="A6273" s="45"/>
    </row>
    <row r="6274" spans="1:1">
      <c r="A6274" s="45"/>
    </row>
    <row r="6275" spans="1:1">
      <c r="A6275" s="45"/>
    </row>
    <row r="6276" spans="1:1">
      <c r="A6276" s="45"/>
    </row>
    <row r="6277" spans="1:1">
      <c r="A6277" s="45"/>
    </row>
    <row r="6278" spans="1:1">
      <c r="A6278" s="45"/>
    </row>
    <row r="6279" spans="1:1">
      <c r="A6279" s="45"/>
    </row>
    <row r="6280" spans="1:1">
      <c r="A6280" s="45"/>
    </row>
    <row r="6281" spans="1:1">
      <c r="A6281" s="45"/>
    </row>
    <row r="6282" spans="1:1">
      <c r="A6282" s="45"/>
    </row>
    <row r="6283" spans="1:1">
      <c r="A6283" s="45"/>
    </row>
    <row r="6284" spans="1:1">
      <c r="A6284" s="45"/>
    </row>
    <row r="6285" spans="1:1">
      <c r="A6285" s="45"/>
    </row>
    <row r="6286" spans="1:1">
      <c r="A6286" s="45"/>
    </row>
    <row r="6287" spans="1:1">
      <c r="A6287" s="45"/>
    </row>
    <row r="6288" spans="1:1">
      <c r="A6288" s="45"/>
    </row>
    <row r="6289" spans="1:1">
      <c r="A6289" s="45"/>
    </row>
    <row r="6290" spans="1:1">
      <c r="A6290" s="45"/>
    </row>
    <row r="6291" spans="1:1">
      <c r="A6291" s="45"/>
    </row>
    <row r="6292" spans="1:1">
      <c r="A6292" s="45"/>
    </row>
    <row r="6293" spans="1:1">
      <c r="A6293" s="45"/>
    </row>
    <row r="6294" spans="1:1">
      <c r="A6294" s="45"/>
    </row>
    <row r="6295" spans="1:1">
      <c r="A6295" s="45"/>
    </row>
    <row r="6296" spans="1:1">
      <c r="A6296" s="45"/>
    </row>
    <row r="6297" spans="1:1">
      <c r="A6297" s="45"/>
    </row>
    <row r="6298" spans="1:1">
      <c r="A6298" s="45"/>
    </row>
    <row r="6299" spans="1:1">
      <c r="A6299" s="45"/>
    </row>
    <row r="6300" spans="1:1">
      <c r="A6300" s="45"/>
    </row>
    <row r="6301" spans="1:1">
      <c r="A6301" s="45"/>
    </row>
    <row r="6302" spans="1:1">
      <c r="A6302" s="45"/>
    </row>
    <row r="6303" spans="1:1">
      <c r="A6303" s="45"/>
    </row>
    <row r="6304" spans="1:1">
      <c r="A6304" s="45"/>
    </row>
    <row r="6305" spans="1:1">
      <c r="A6305" s="45"/>
    </row>
    <row r="6306" spans="1:1">
      <c r="A6306" s="45"/>
    </row>
    <row r="6307" spans="1:1">
      <c r="A6307" s="45"/>
    </row>
    <row r="6308" spans="1:1">
      <c r="A6308" s="45"/>
    </row>
    <row r="6309" spans="1:1">
      <c r="A6309" s="45"/>
    </row>
    <row r="6310" spans="1:1">
      <c r="A6310" s="45"/>
    </row>
    <row r="6311" spans="1:1">
      <c r="A6311" s="45"/>
    </row>
    <row r="6312" spans="1:1">
      <c r="A6312" s="45"/>
    </row>
    <row r="6313" spans="1:1">
      <c r="A6313" s="45"/>
    </row>
    <row r="6314" spans="1:1">
      <c r="A6314" s="45"/>
    </row>
    <row r="6315" spans="1:1">
      <c r="A6315" s="45"/>
    </row>
    <row r="6316" spans="1:1">
      <c r="A6316" s="45"/>
    </row>
    <row r="6317" spans="1:1">
      <c r="A6317" s="45"/>
    </row>
    <row r="6318" spans="1:1">
      <c r="A6318" s="45"/>
    </row>
    <row r="6319" spans="1:1">
      <c r="A6319" s="45"/>
    </row>
    <row r="6320" spans="1:1">
      <c r="A6320" s="45"/>
    </row>
    <row r="6321" spans="1:1">
      <c r="A6321" s="45"/>
    </row>
    <row r="6322" spans="1:1">
      <c r="A6322" s="45"/>
    </row>
    <row r="6323" spans="1:1">
      <c r="A6323" s="45"/>
    </row>
    <row r="6324" spans="1:1">
      <c r="A6324" s="45"/>
    </row>
    <row r="6325" spans="1:1">
      <c r="A6325" s="45"/>
    </row>
    <row r="6326" spans="1:1">
      <c r="A6326" s="45"/>
    </row>
    <row r="6327" spans="1:1">
      <c r="A6327" s="45"/>
    </row>
    <row r="6328" spans="1:1">
      <c r="A6328" s="45"/>
    </row>
    <row r="6329" spans="1:1">
      <c r="A6329" s="45"/>
    </row>
    <row r="6330" spans="1:1">
      <c r="A6330" s="45"/>
    </row>
    <row r="6331" spans="1:1">
      <c r="A6331" s="45"/>
    </row>
    <row r="6332" spans="1:1">
      <c r="A6332" s="45"/>
    </row>
    <row r="6333" spans="1:1">
      <c r="A6333" s="45"/>
    </row>
    <row r="6334" spans="1:1">
      <c r="A6334" s="45"/>
    </row>
    <row r="6335" spans="1:1">
      <c r="A6335" s="45"/>
    </row>
    <row r="6336" spans="1:1">
      <c r="A6336" s="45"/>
    </row>
    <row r="6337" spans="1:1">
      <c r="A6337" s="45"/>
    </row>
    <row r="6338" spans="1:1">
      <c r="A6338" s="45"/>
    </row>
    <row r="6339" spans="1:1">
      <c r="A6339" s="45"/>
    </row>
    <row r="6340" spans="1:1">
      <c r="A6340" s="45"/>
    </row>
    <row r="6341" spans="1:1">
      <c r="A6341" s="45"/>
    </row>
    <row r="6342" spans="1:1">
      <c r="A6342" s="45"/>
    </row>
    <row r="6343" spans="1:1">
      <c r="A6343" s="45"/>
    </row>
    <row r="6344" spans="1:1">
      <c r="A6344" s="45"/>
    </row>
    <row r="6345" spans="1:1">
      <c r="A6345" s="45"/>
    </row>
    <row r="6346" spans="1:1">
      <c r="A6346" s="45"/>
    </row>
    <row r="6347" spans="1:1">
      <c r="A6347" s="45"/>
    </row>
    <row r="6348" spans="1:1">
      <c r="A6348" s="45"/>
    </row>
    <row r="6349" spans="1:1">
      <c r="A6349" s="45"/>
    </row>
    <row r="6350" spans="1:1">
      <c r="A6350" s="45"/>
    </row>
    <row r="6351" spans="1:1">
      <c r="A6351" s="45"/>
    </row>
    <row r="6352" spans="1:1">
      <c r="A6352" s="45"/>
    </row>
    <row r="6353" spans="1:1">
      <c r="A6353" s="45"/>
    </row>
    <row r="6354" spans="1:1">
      <c r="A6354" s="45"/>
    </row>
    <row r="6355" spans="1:1">
      <c r="A6355" s="45"/>
    </row>
    <row r="6356" spans="1:1">
      <c r="A6356" s="45"/>
    </row>
    <row r="6357" spans="1:1">
      <c r="A6357" s="45"/>
    </row>
    <row r="6358" spans="1:1">
      <c r="A6358" s="45"/>
    </row>
    <row r="6359" spans="1:1">
      <c r="A6359" s="45"/>
    </row>
    <row r="6360" spans="1:1">
      <c r="A6360" s="45"/>
    </row>
    <row r="6361" spans="1:1">
      <c r="A6361" s="45"/>
    </row>
    <row r="6362" spans="1:1">
      <c r="A6362" s="45"/>
    </row>
    <row r="6363" spans="1:1">
      <c r="A6363" s="45"/>
    </row>
    <row r="6364" spans="1:1">
      <c r="A6364" s="45"/>
    </row>
    <row r="6365" spans="1:1">
      <c r="A6365" s="45"/>
    </row>
    <row r="6366" spans="1:1">
      <c r="A6366" s="45"/>
    </row>
    <row r="6367" spans="1:1">
      <c r="A6367" s="45"/>
    </row>
    <row r="6368" spans="1:1">
      <c r="A6368" s="45"/>
    </row>
    <row r="6369" spans="1:1">
      <c r="A6369" s="45"/>
    </row>
    <row r="6370" spans="1:1">
      <c r="A6370" s="45"/>
    </row>
    <row r="6371" spans="1:1">
      <c r="A6371" s="45"/>
    </row>
    <row r="6372" spans="1:1">
      <c r="A6372" s="45"/>
    </row>
    <row r="6373" spans="1:1">
      <c r="A6373" s="45"/>
    </row>
    <row r="6374" spans="1:1">
      <c r="A6374" s="45"/>
    </row>
    <row r="6375" spans="1:1">
      <c r="A6375" s="45"/>
    </row>
    <row r="6376" spans="1:1">
      <c r="A6376" s="45"/>
    </row>
    <row r="6377" spans="1:1">
      <c r="A6377" s="45"/>
    </row>
    <row r="6378" spans="1:1">
      <c r="A6378" s="45"/>
    </row>
    <row r="6379" spans="1:1">
      <c r="A6379" s="45"/>
    </row>
    <row r="6380" spans="1:1">
      <c r="A6380" s="45"/>
    </row>
    <row r="6381" spans="1:1">
      <c r="A6381" s="45"/>
    </row>
    <row r="6382" spans="1:1">
      <c r="A6382" s="45"/>
    </row>
    <row r="6383" spans="1:1">
      <c r="A6383" s="45"/>
    </row>
    <row r="6384" spans="1:1">
      <c r="A6384" s="45"/>
    </row>
    <row r="6385" spans="1:1">
      <c r="A6385" s="45"/>
    </row>
    <row r="6386" spans="1:1">
      <c r="A6386" s="45"/>
    </row>
    <row r="6387" spans="1:1">
      <c r="A6387" s="45"/>
    </row>
    <row r="6388" spans="1:1">
      <c r="A6388" s="45"/>
    </row>
    <row r="6389" spans="1:1">
      <c r="A6389" s="45"/>
    </row>
    <row r="6390" spans="1:1">
      <c r="A6390" s="45"/>
    </row>
    <row r="6391" spans="1:1">
      <c r="A6391" s="45"/>
    </row>
    <row r="6392" spans="1:1">
      <c r="A6392" s="45"/>
    </row>
    <row r="6393" spans="1:1">
      <c r="A6393" s="45"/>
    </row>
    <row r="6394" spans="1:1">
      <c r="A6394" s="45"/>
    </row>
    <row r="6395" spans="1:1">
      <c r="A6395" s="45"/>
    </row>
    <row r="6396" spans="1:1">
      <c r="A6396" s="45"/>
    </row>
    <row r="6397" spans="1:1">
      <c r="A6397" s="45"/>
    </row>
    <row r="6398" spans="1:1">
      <c r="A6398" s="45"/>
    </row>
    <row r="6399" spans="1:1">
      <c r="A6399" s="45"/>
    </row>
    <row r="6400" spans="1:1">
      <c r="A6400" s="45"/>
    </row>
    <row r="6401" spans="1:1">
      <c r="A6401" s="45"/>
    </row>
    <row r="6402" spans="1:1">
      <c r="A6402" s="45"/>
    </row>
    <row r="6403" spans="1:1">
      <c r="A6403" s="45"/>
    </row>
    <row r="6404" spans="1:1">
      <c r="A6404" s="45"/>
    </row>
    <row r="6405" spans="1:1">
      <c r="A6405" s="45"/>
    </row>
    <row r="6406" spans="1:1">
      <c r="A6406" s="45"/>
    </row>
    <row r="6407" spans="1:1">
      <c r="A6407" s="45"/>
    </row>
    <row r="6408" spans="1:1">
      <c r="A6408" s="45"/>
    </row>
    <row r="6409" spans="1:1">
      <c r="A6409" s="45"/>
    </row>
    <row r="6410" spans="1:1">
      <c r="A6410" s="45"/>
    </row>
    <row r="6411" spans="1:1">
      <c r="A6411" s="45"/>
    </row>
    <row r="6412" spans="1:1">
      <c r="A6412" s="45"/>
    </row>
    <row r="6413" spans="1:1">
      <c r="A6413" s="45"/>
    </row>
    <row r="6414" spans="1:1">
      <c r="A6414" s="45"/>
    </row>
    <row r="6415" spans="1:1">
      <c r="A6415" s="45"/>
    </row>
    <row r="6416" spans="1:1">
      <c r="A6416" s="45"/>
    </row>
    <row r="6417" spans="1:1">
      <c r="A6417" s="45"/>
    </row>
    <row r="6418" spans="1:1">
      <c r="A6418" s="45"/>
    </row>
    <row r="6419" spans="1:1">
      <c r="A6419" s="45"/>
    </row>
    <row r="6420" spans="1:1">
      <c r="A6420" s="45"/>
    </row>
    <row r="6421" spans="1:1">
      <c r="A6421" s="45"/>
    </row>
    <row r="6422" spans="1:1">
      <c r="A6422" s="45"/>
    </row>
    <row r="6423" spans="1:1">
      <c r="A6423" s="45"/>
    </row>
    <row r="6424" spans="1:1">
      <c r="A6424" s="45"/>
    </row>
    <row r="6425" spans="1:1">
      <c r="A6425" s="45"/>
    </row>
    <row r="6426" spans="1:1">
      <c r="A6426" s="45"/>
    </row>
    <row r="6427" spans="1:1">
      <c r="A6427" s="45"/>
    </row>
    <row r="6428" spans="1:1">
      <c r="A6428" s="45"/>
    </row>
    <row r="6429" spans="1:1">
      <c r="A6429" s="45"/>
    </row>
    <row r="6430" spans="1:1">
      <c r="A6430" s="45"/>
    </row>
    <row r="6431" spans="1:1">
      <c r="A6431" s="45"/>
    </row>
    <row r="6432" spans="1:1">
      <c r="A6432" s="45"/>
    </row>
    <row r="6433" spans="1:1">
      <c r="A6433" s="45"/>
    </row>
    <row r="6434" spans="1:1">
      <c r="A6434" s="45"/>
    </row>
    <row r="6435" spans="1:1">
      <c r="A6435" s="45"/>
    </row>
    <row r="6436" spans="1:1">
      <c r="A6436" s="45"/>
    </row>
    <row r="6437" spans="1:1">
      <c r="A6437" s="45"/>
    </row>
    <row r="6438" spans="1:1">
      <c r="A6438" s="45"/>
    </row>
    <row r="6439" spans="1:1">
      <c r="A6439" s="45"/>
    </row>
    <row r="6440" spans="1:1">
      <c r="A6440" s="45"/>
    </row>
    <row r="6441" spans="1:1">
      <c r="A6441" s="45"/>
    </row>
    <row r="6442" spans="1:1">
      <c r="A6442" s="45"/>
    </row>
    <row r="6443" spans="1:1">
      <c r="A6443" s="45"/>
    </row>
    <row r="6444" spans="1:1">
      <c r="A6444" s="45"/>
    </row>
    <row r="6445" spans="1:1">
      <c r="A6445" s="45"/>
    </row>
    <row r="6446" spans="1:1">
      <c r="A6446" s="45"/>
    </row>
    <row r="6447" spans="1:1">
      <c r="A6447" s="45"/>
    </row>
    <row r="6448" spans="1:1">
      <c r="A6448" s="45"/>
    </row>
    <row r="6449" spans="1:1">
      <c r="A6449" s="45"/>
    </row>
    <row r="6450" spans="1:1">
      <c r="A6450" s="45"/>
    </row>
    <row r="6451" spans="1:1">
      <c r="A6451" s="45"/>
    </row>
    <row r="6452" spans="1:1">
      <c r="A6452" s="45"/>
    </row>
    <row r="6453" spans="1:1">
      <c r="A6453" s="45"/>
    </row>
    <row r="6454" spans="1:1">
      <c r="A6454" s="45"/>
    </row>
    <row r="6455" spans="1:1">
      <c r="A6455" s="45"/>
    </row>
    <row r="6456" spans="1:1">
      <c r="A6456" s="45"/>
    </row>
    <row r="6457" spans="1:1">
      <c r="A6457" s="45"/>
    </row>
    <row r="6458" spans="1:1">
      <c r="A6458" s="45"/>
    </row>
    <row r="6459" spans="1:1">
      <c r="A6459" s="45"/>
    </row>
    <row r="6460" spans="1:1">
      <c r="A6460" s="45"/>
    </row>
    <row r="6461" spans="1:1">
      <c r="A6461" s="45"/>
    </row>
    <row r="6462" spans="1:1">
      <c r="A6462" s="45"/>
    </row>
    <row r="6463" spans="1:1">
      <c r="A6463" s="45"/>
    </row>
    <row r="6464" spans="1:1">
      <c r="A6464" s="45"/>
    </row>
    <row r="6465" spans="1:1">
      <c r="A6465" s="45"/>
    </row>
    <row r="6466" spans="1:1">
      <c r="A6466" s="45"/>
    </row>
    <row r="6467" spans="1:1">
      <c r="A6467" s="45"/>
    </row>
    <row r="6468" spans="1:1">
      <c r="A6468" s="45"/>
    </row>
    <row r="6469" spans="1:1">
      <c r="A6469" s="45"/>
    </row>
    <row r="6470" spans="1:1">
      <c r="A6470" s="45"/>
    </row>
    <row r="6471" spans="1:1">
      <c r="A6471" s="45"/>
    </row>
    <row r="6472" spans="1:1">
      <c r="A6472" s="45"/>
    </row>
    <row r="6473" spans="1:1">
      <c r="A6473" s="45"/>
    </row>
    <row r="6474" spans="1:1">
      <c r="A6474" s="45"/>
    </row>
    <row r="6475" spans="1:1">
      <c r="A6475" s="45"/>
    </row>
    <row r="6476" spans="1:1">
      <c r="A6476" s="45"/>
    </row>
    <row r="6477" spans="1:1">
      <c r="A6477" s="45"/>
    </row>
    <row r="6478" spans="1:1">
      <c r="A6478" s="45"/>
    </row>
    <row r="6479" spans="1:1">
      <c r="A6479" s="45"/>
    </row>
    <row r="6480" spans="1:1">
      <c r="A6480" s="45"/>
    </row>
    <row r="6481" spans="1:1">
      <c r="A6481" s="45"/>
    </row>
    <row r="6482" spans="1:1">
      <c r="A6482" s="45"/>
    </row>
    <row r="6483" spans="1:1">
      <c r="A6483" s="45"/>
    </row>
    <row r="6484" spans="1:1">
      <c r="A6484" s="45"/>
    </row>
    <row r="6485" spans="1:1">
      <c r="A6485" s="45"/>
    </row>
    <row r="6486" spans="1:1">
      <c r="A6486" s="45"/>
    </row>
    <row r="6487" spans="1:1">
      <c r="A6487" s="45"/>
    </row>
    <row r="6488" spans="1:1">
      <c r="A6488" s="45"/>
    </row>
    <row r="6489" spans="1:1">
      <c r="A6489" s="45"/>
    </row>
    <row r="6490" spans="1:1">
      <c r="A6490" s="45"/>
    </row>
    <row r="6491" spans="1:1">
      <c r="A6491" s="45"/>
    </row>
    <row r="6492" spans="1:1">
      <c r="A6492" s="45"/>
    </row>
    <row r="6493" spans="1:1">
      <c r="A6493" s="45"/>
    </row>
    <row r="6494" spans="1:1">
      <c r="A6494" s="45"/>
    </row>
    <row r="6495" spans="1:1">
      <c r="A6495" s="45"/>
    </row>
    <row r="6496" spans="1:1">
      <c r="A6496" s="45"/>
    </row>
    <row r="6497" spans="1:1">
      <c r="A6497" s="45"/>
    </row>
    <row r="6498" spans="1:1">
      <c r="A6498" s="45"/>
    </row>
    <row r="6499" spans="1:1">
      <c r="A6499" s="45"/>
    </row>
    <row r="6500" spans="1:1">
      <c r="A6500" s="45"/>
    </row>
    <row r="6501" spans="1:1">
      <c r="A6501" s="45"/>
    </row>
    <row r="6502" spans="1:1">
      <c r="A6502" s="45"/>
    </row>
    <row r="6503" spans="1:1">
      <c r="A6503" s="45"/>
    </row>
    <row r="6504" spans="1:1">
      <c r="A6504" s="45"/>
    </row>
    <row r="6505" spans="1:1">
      <c r="A6505" s="45"/>
    </row>
    <row r="6506" spans="1:1">
      <c r="A6506" s="45"/>
    </row>
    <row r="6507" spans="1:1">
      <c r="A6507" s="45"/>
    </row>
    <row r="6508" spans="1:1">
      <c r="A6508" s="45"/>
    </row>
    <row r="6509" spans="1:1">
      <c r="A6509" s="45"/>
    </row>
    <row r="6510" spans="1:1">
      <c r="A6510" s="45"/>
    </row>
    <row r="6511" spans="1:1">
      <c r="A6511" s="45"/>
    </row>
    <row r="6512" spans="1:1">
      <c r="A6512" s="45"/>
    </row>
    <row r="6513" spans="1:1">
      <c r="A6513" s="45"/>
    </row>
    <row r="6514" spans="1:1">
      <c r="A6514" s="45"/>
    </row>
    <row r="6515" spans="1:1">
      <c r="A6515" s="45"/>
    </row>
    <row r="6516" spans="1:1">
      <c r="A6516" s="45"/>
    </row>
    <row r="6517" spans="1:1">
      <c r="A6517" s="45"/>
    </row>
    <row r="6518" spans="1:1">
      <c r="A6518" s="45"/>
    </row>
    <row r="6519" spans="1:1">
      <c r="A6519" s="45"/>
    </row>
    <row r="6520" spans="1:1">
      <c r="A6520" s="45"/>
    </row>
    <row r="6521" spans="1:1">
      <c r="A6521" s="45"/>
    </row>
    <row r="6522" spans="1:1">
      <c r="A6522" s="45"/>
    </row>
    <row r="6523" spans="1:1">
      <c r="A6523" s="45"/>
    </row>
    <row r="6524" spans="1:1">
      <c r="A6524" s="45"/>
    </row>
    <row r="6525" spans="1:1">
      <c r="A6525" s="45"/>
    </row>
    <row r="6526" spans="1:1">
      <c r="A6526" s="45"/>
    </row>
    <row r="6527" spans="1:1">
      <c r="A6527" s="45"/>
    </row>
    <row r="6528" spans="1:1">
      <c r="A6528" s="45"/>
    </row>
    <row r="6529" spans="1:1">
      <c r="A6529" s="45"/>
    </row>
    <row r="6530" spans="1:1">
      <c r="A6530" s="45"/>
    </row>
    <row r="6531" spans="1:1">
      <c r="A6531" s="45"/>
    </row>
    <row r="6532" spans="1:1">
      <c r="A6532" s="45"/>
    </row>
    <row r="6533" spans="1:1">
      <c r="A6533" s="45"/>
    </row>
    <row r="6534" spans="1:1">
      <c r="A6534" s="45"/>
    </row>
    <row r="6535" spans="1:1">
      <c r="A6535" s="45"/>
    </row>
    <row r="6536" spans="1:1">
      <c r="A6536" s="45"/>
    </row>
    <row r="6537" spans="1:1">
      <c r="A6537" s="45"/>
    </row>
    <row r="6538" spans="1:1">
      <c r="A6538" s="45"/>
    </row>
    <row r="6539" spans="1:1">
      <c r="A6539" s="45"/>
    </row>
    <row r="6540" spans="1:1">
      <c r="A6540" s="45"/>
    </row>
    <row r="6541" spans="1:1">
      <c r="A6541" s="45"/>
    </row>
    <row r="6542" spans="1:1">
      <c r="A6542" s="45"/>
    </row>
    <row r="6543" spans="1:1">
      <c r="A6543" s="45"/>
    </row>
    <row r="6544" spans="1:1">
      <c r="A6544" s="45"/>
    </row>
    <row r="6545" spans="1:1">
      <c r="A6545" s="45"/>
    </row>
    <row r="6546" spans="1:1">
      <c r="A6546" s="45"/>
    </row>
    <row r="6547" spans="1:1">
      <c r="A6547" s="45"/>
    </row>
    <row r="6548" spans="1:1">
      <c r="A6548" s="45"/>
    </row>
    <row r="6549" spans="1:1">
      <c r="A6549" s="45"/>
    </row>
    <row r="6550" spans="1:1">
      <c r="A6550" s="45"/>
    </row>
    <row r="6551" spans="1:1">
      <c r="A6551" s="45"/>
    </row>
    <row r="6552" spans="1:1">
      <c r="A6552" s="45"/>
    </row>
    <row r="6553" spans="1:1">
      <c r="A6553" s="45"/>
    </row>
    <row r="6554" spans="1:1">
      <c r="A6554" s="45"/>
    </row>
    <row r="6555" spans="1:1">
      <c r="A6555" s="45"/>
    </row>
    <row r="6556" spans="1:1">
      <c r="A6556" s="45"/>
    </row>
    <row r="6557" spans="1:1">
      <c r="A6557" s="45"/>
    </row>
    <row r="6558" spans="1:1">
      <c r="A6558" s="45"/>
    </row>
    <row r="6559" spans="1:1">
      <c r="A6559" s="45"/>
    </row>
    <row r="6560" spans="1:1">
      <c r="A6560" s="45"/>
    </row>
    <row r="6561" spans="1:1">
      <c r="A6561" s="45"/>
    </row>
    <row r="6562" spans="1:1">
      <c r="A6562" s="45"/>
    </row>
    <row r="6563" spans="1:1">
      <c r="A6563" s="45"/>
    </row>
    <row r="6564" spans="1:1">
      <c r="A6564" s="45"/>
    </row>
    <row r="6565" spans="1:1">
      <c r="A6565" s="45"/>
    </row>
    <row r="6566" spans="1:1">
      <c r="A6566" s="45"/>
    </row>
    <row r="6567" spans="1:1">
      <c r="A6567" s="45"/>
    </row>
    <row r="6568" spans="1:1">
      <c r="A6568" s="45"/>
    </row>
    <row r="6569" spans="1:1">
      <c r="A6569" s="45"/>
    </row>
    <row r="6570" spans="1:1">
      <c r="A6570" s="45"/>
    </row>
    <row r="6571" spans="1:1">
      <c r="A6571" s="45"/>
    </row>
    <row r="6572" spans="1:1">
      <c r="A6572" s="45"/>
    </row>
    <row r="6573" spans="1:1">
      <c r="A6573" s="45"/>
    </row>
    <row r="6574" spans="1:1">
      <c r="A6574" s="45"/>
    </row>
    <row r="6575" spans="1:1">
      <c r="A6575" s="45"/>
    </row>
    <row r="6576" spans="1:1">
      <c r="A6576" s="45"/>
    </row>
    <row r="6577" spans="1:1">
      <c r="A6577" s="45"/>
    </row>
    <row r="6578" spans="1:1">
      <c r="A6578" s="45"/>
    </row>
    <row r="6579" spans="1:1">
      <c r="A6579" s="45"/>
    </row>
    <row r="6580" spans="1:1">
      <c r="A6580" s="45"/>
    </row>
    <row r="6581" spans="1:1">
      <c r="A6581" s="45"/>
    </row>
    <row r="6582" spans="1:1">
      <c r="A6582" s="45"/>
    </row>
    <row r="6583" spans="1:1">
      <c r="A6583" s="45"/>
    </row>
    <row r="6584" spans="1:1">
      <c r="A6584" s="45"/>
    </row>
    <row r="6585" spans="1:1">
      <c r="A6585" s="45"/>
    </row>
    <row r="6586" spans="1:1">
      <c r="A6586" s="45"/>
    </row>
    <row r="6587" spans="1:1">
      <c r="A6587" s="45"/>
    </row>
    <row r="6588" spans="1:1">
      <c r="A6588" s="45"/>
    </row>
    <row r="6589" spans="1:1">
      <c r="A6589" s="45"/>
    </row>
    <row r="6590" spans="1:1">
      <c r="A6590" s="45"/>
    </row>
    <row r="6591" spans="1:1">
      <c r="A6591" s="45"/>
    </row>
    <row r="6592" spans="1:1">
      <c r="A6592" s="45"/>
    </row>
    <row r="6593" spans="1:1">
      <c r="A6593" s="45"/>
    </row>
    <row r="6594" spans="1:1">
      <c r="A6594" s="45"/>
    </row>
    <row r="6595" spans="1:1">
      <c r="A6595" s="45"/>
    </row>
    <row r="6596" spans="1:1">
      <c r="A6596" s="45"/>
    </row>
    <row r="6597" spans="1:1">
      <c r="A6597" s="45"/>
    </row>
    <row r="6598" spans="1:1">
      <c r="A6598" s="45"/>
    </row>
    <row r="6599" spans="1:1">
      <c r="A6599" s="45"/>
    </row>
    <row r="6600" spans="1:1">
      <c r="A6600" s="45"/>
    </row>
    <row r="6601" spans="1:1">
      <c r="A6601" s="45"/>
    </row>
    <row r="6602" spans="1:1">
      <c r="A6602" s="45"/>
    </row>
    <row r="6603" spans="1:1">
      <c r="A6603" s="45"/>
    </row>
    <row r="6604" spans="1:1">
      <c r="A6604" s="45"/>
    </row>
    <row r="6605" spans="1:1">
      <c r="A6605" s="45"/>
    </row>
    <row r="6606" spans="1:1">
      <c r="A6606" s="45"/>
    </row>
    <row r="6607" spans="1:1">
      <c r="A6607" s="45"/>
    </row>
    <row r="6608" spans="1:1">
      <c r="A6608" s="45"/>
    </row>
    <row r="6609" spans="1:1">
      <c r="A6609" s="45"/>
    </row>
    <row r="6610" spans="1:1">
      <c r="A6610" s="45"/>
    </row>
    <row r="6611" spans="1:1">
      <c r="A6611" s="45"/>
    </row>
    <row r="6612" spans="1:1">
      <c r="A6612" s="45"/>
    </row>
    <row r="6613" spans="1:1">
      <c r="A6613" s="45"/>
    </row>
    <row r="6614" spans="1:1">
      <c r="A6614" s="45"/>
    </row>
    <row r="6615" spans="1:1">
      <c r="A6615" s="45"/>
    </row>
    <row r="6616" spans="1:1">
      <c r="A6616" s="45"/>
    </row>
    <row r="6617" spans="1:1">
      <c r="A6617" s="45"/>
    </row>
    <row r="6618" spans="1:1">
      <c r="A6618" s="45"/>
    </row>
    <row r="6619" spans="1:1">
      <c r="A6619" s="45"/>
    </row>
    <row r="6620" spans="1:1">
      <c r="A6620" s="45"/>
    </row>
    <row r="6621" spans="1:1">
      <c r="A6621" s="45"/>
    </row>
    <row r="6622" spans="1:1">
      <c r="A6622" s="45"/>
    </row>
    <row r="6623" spans="1:1">
      <c r="A6623" s="45"/>
    </row>
    <row r="6624" spans="1:1">
      <c r="A6624" s="45"/>
    </row>
    <row r="6625" spans="1:1">
      <c r="A6625" s="45"/>
    </row>
    <row r="6626" spans="1:1">
      <c r="A6626" s="45"/>
    </row>
    <row r="6627" spans="1:1">
      <c r="A6627" s="45"/>
    </row>
    <row r="6628" spans="1:1">
      <c r="A6628" s="45"/>
    </row>
    <row r="6629" spans="1:1">
      <c r="A6629" s="45"/>
    </row>
    <row r="6630" spans="1:1">
      <c r="A6630" s="45"/>
    </row>
    <row r="6631" spans="1:1">
      <c r="A6631" s="45"/>
    </row>
    <row r="6632" spans="1:1">
      <c r="A6632" s="45"/>
    </row>
    <row r="6633" spans="1:1">
      <c r="A6633" s="45"/>
    </row>
    <row r="6634" spans="1:1">
      <c r="A6634" s="45"/>
    </row>
    <row r="6635" spans="1:1">
      <c r="A6635" s="45"/>
    </row>
    <row r="6636" spans="1:1">
      <c r="A6636" s="45"/>
    </row>
    <row r="6637" spans="1:1">
      <c r="A6637" s="45"/>
    </row>
    <row r="6638" spans="1:1">
      <c r="A6638" s="45"/>
    </row>
    <row r="6639" spans="1:1">
      <c r="A6639" s="45"/>
    </row>
    <row r="6640" spans="1:1">
      <c r="A6640" s="45"/>
    </row>
    <row r="6641" spans="1:1">
      <c r="A6641" s="45"/>
    </row>
    <row r="6642" spans="1:1">
      <c r="A6642" s="45"/>
    </row>
    <row r="6643" spans="1:1">
      <c r="A6643" s="45"/>
    </row>
    <row r="6644" spans="1:1">
      <c r="A6644" s="45"/>
    </row>
    <row r="6645" spans="1:1">
      <c r="A6645" s="45"/>
    </row>
    <row r="6646" spans="1:1">
      <c r="A6646" s="45"/>
    </row>
    <row r="6647" spans="1:1">
      <c r="A6647" s="45"/>
    </row>
    <row r="6648" spans="1:1">
      <c r="A6648" s="45"/>
    </row>
    <row r="6649" spans="1:1">
      <c r="A6649" s="45"/>
    </row>
    <row r="6650" spans="1:1">
      <c r="A6650" s="45"/>
    </row>
    <row r="6651" spans="1:1">
      <c r="A6651" s="45"/>
    </row>
    <row r="6652" spans="1:1">
      <c r="A6652" s="45"/>
    </row>
    <row r="6653" spans="1:1">
      <c r="A6653" s="45"/>
    </row>
    <row r="6654" spans="1:1">
      <c r="A6654" s="45"/>
    </row>
    <row r="6655" spans="1:1">
      <c r="A6655" s="45"/>
    </row>
    <row r="6656" spans="1:1">
      <c r="A6656" s="45"/>
    </row>
    <row r="6657" spans="1:1">
      <c r="A6657" s="45"/>
    </row>
    <row r="6658" spans="1:1">
      <c r="A6658" s="45"/>
    </row>
    <row r="6659" spans="1:1">
      <c r="A6659" s="45"/>
    </row>
    <row r="6660" spans="1:1">
      <c r="A6660" s="45"/>
    </row>
    <row r="6661" spans="1:1">
      <c r="A6661" s="45"/>
    </row>
    <row r="6662" spans="1:1">
      <c r="A6662" s="45"/>
    </row>
    <row r="6663" spans="1:1">
      <c r="A6663" s="45"/>
    </row>
    <row r="6664" spans="1:1">
      <c r="A6664" s="45"/>
    </row>
    <row r="6665" spans="1:1">
      <c r="A6665" s="45"/>
    </row>
    <row r="6666" spans="1:1">
      <c r="A6666" s="45"/>
    </row>
    <row r="6667" spans="1:1">
      <c r="A6667" s="45"/>
    </row>
    <row r="6668" spans="1:1">
      <c r="A6668" s="45"/>
    </row>
    <row r="6669" spans="1:1">
      <c r="A6669" s="45"/>
    </row>
    <row r="6670" spans="1:1">
      <c r="A6670" s="45"/>
    </row>
    <row r="6671" spans="1:1">
      <c r="A6671" s="45"/>
    </row>
    <row r="6672" spans="1:1">
      <c r="A6672" s="45"/>
    </row>
    <row r="6673" spans="1:1">
      <c r="A6673" s="45"/>
    </row>
    <row r="6674" spans="1:1">
      <c r="A6674" s="45"/>
    </row>
    <row r="6675" spans="1:1">
      <c r="A6675" s="45"/>
    </row>
    <row r="6676" spans="1:1">
      <c r="A6676" s="45"/>
    </row>
    <row r="6677" spans="1:1">
      <c r="A6677" s="45"/>
    </row>
    <row r="6678" spans="1:1">
      <c r="A6678" s="45"/>
    </row>
    <row r="6679" spans="1:1">
      <c r="A6679" s="45"/>
    </row>
    <row r="6680" spans="1:1">
      <c r="A6680" s="45"/>
    </row>
    <row r="6681" spans="1:1">
      <c r="A6681" s="45"/>
    </row>
    <row r="6682" spans="1:1">
      <c r="A6682" s="45"/>
    </row>
    <row r="6683" spans="1:1">
      <c r="A6683" s="45"/>
    </row>
    <row r="6684" spans="1:1">
      <c r="A6684" s="45"/>
    </row>
    <row r="6685" spans="1:1">
      <c r="A6685" s="45"/>
    </row>
    <row r="6686" spans="1:1">
      <c r="A6686" s="45"/>
    </row>
    <row r="6687" spans="1:1">
      <c r="A6687" s="45"/>
    </row>
    <row r="6688" spans="1:1">
      <c r="A6688" s="45"/>
    </row>
    <row r="6689" spans="1:1">
      <c r="A6689" s="45"/>
    </row>
    <row r="6690" spans="1:1">
      <c r="A6690" s="45"/>
    </row>
    <row r="6691" spans="1:1">
      <c r="A6691" s="45"/>
    </row>
    <row r="6692" spans="1:1">
      <c r="A6692" s="45"/>
    </row>
    <row r="6693" spans="1:1">
      <c r="A6693" s="45"/>
    </row>
    <row r="6694" spans="1:1">
      <c r="A6694" s="45"/>
    </row>
    <row r="6695" spans="1:1">
      <c r="A6695" s="45"/>
    </row>
    <row r="6696" spans="1:1">
      <c r="A6696" s="45"/>
    </row>
    <row r="6697" spans="1:1">
      <c r="A6697" s="45"/>
    </row>
    <row r="6698" spans="1:1">
      <c r="A6698" s="45"/>
    </row>
    <row r="6699" spans="1:1">
      <c r="A6699" s="45"/>
    </row>
    <row r="6700" spans="1:1">
      <c r="A6700" s="45"/>
    </row>
    <row r="6701" spans="1:1">
      <c r="A6701" s="45"/>
    </row>
    <row r="6702" spans="1:1">
      <c r="A6702" s="45"/>
    </row>
    <row r="6703" spans="1:1">
      <c r="A6703" s="45"/>
    </row>
    <row r="6704" spans="1:1">
      <c r="A6704" s="45"/>
    </row>
    <row r="6705" spans="1:1">
      <c r="A6705" s="45"/>
    </row>
    <row r="6706" spans="1:1">
      <c r="A6706" s="45"/>
    </row>
    <row r="6707" spans="1:1">
      <c r="A6707" s="45"/>
    </row>
    <row r="6708" spans="1:1">
      <c r="A6708" s="45"/>
    </row>
    <row r="6709" spans="1:1">
      <c r="A6709" s="45"/>
    </row>
    <row r="6710" spans="1:1">
      <c r="A6710" s="45"/>
    </row>
    <row r="6711" spans="1:1">
      <c r="A6711" s="45"/>
    </row>
    <row r="6712" spans="1:1">
      <c r="A6712" s="45"/>
    </row>
    <row r="6713" spans="1:1">
      <c r="A6713" s="45"/>
    </row>
    <row r="6714" spans="1:1">
      <c r="A6714" s="45"/>
    </row>
    <row r="6715" spans="1:1">
      <c r="A6715" s="45"/>
    </row>
    <row r="6716" spans="1:1">
      <c r="A6716" s="45"/>
    </row>
    <row r="6717" spans="1:1">
      <c r="A6717" s="45"/>
    </row>
    <row r="6718" spans="1:1">
      <c r="A6718" s="45"/>
    </row>
    <row r="6719" spans="1:1">
      <c r="A6719" s="45"/>
    </row>
    <row r="6720" spans="1:1">
      <c r="A6720" s="45"/>
    </row>
    <row r="6721" spans="1:1">
      <c r="A6721" s="45"/>
    </row>
    <row r="6722" spans="1:1">
      <c r="A6722" s="45"/>
    </row>
    <row r="6723" spans="1:1">
      <c r="A6723" s="45"/>
    </row>
    <row r="6724" spans="1:1">
      <c r="A6724" s="45"/>
    </row>
    <row r="6725" spans="1:1">
      <c r="A6725" s="45"/>
    </row>
    <row r="6726" spans="1:1">
      <c r="A6726" s="45"/>
    </row>
    <row r="6727" spans="1:1">
      <c r="A6727" s="45"/>
    </row>
    <row r="6728" spans="1:1">
      <c r="A6728" s="45"/>
    </row>
    <row r="6729" spans="1:1">
      <c r="A6729" s="45"/>
    </row>
    <row r="6730" spans="1:1">
      <c r="A6730" s="45"/>
    </row>
    <row r="6731" spans="1:1">
      <c r="A6731" s="45"/>
    </row>
    <row r="6732" spans="1:1">
      <c r="A6732" s="45"/>
    </row>
    <row r="6733" spans="1:1">
      <c r="A6733" s="45"/>
    </row>
    <row r="6734" spans="1:1">
      <c r="A6734" s="45"/>
    </row>
    <row r="6735" spans="1:1">
      <c r="A6735" s="45"/>
    </row>
    <row r="6736" spans="1:1">
      <c r="A6736" s="45"/>
    </row>
    <row r="6737" spans="1:1">
      <c r="A6737" s="45"/>
    </row>
    <row r="6738" spans="1:1">
      <c r="A6738" s="45"/>
    </row>
    <row r="6739" spans="1:1">
      <c r="A6739" s="45"/>
    </row>
    <row r="6740" spans="1:1">
      <c r="A6740" s="45"/>
    </row>
    <row r="6741" spans="1:1">
      <c r="A6741" s="45"/>
    </row>
    <row r="6742" spans="1:1">
      <c r="A6742" s="45"/>
    </row>
    <row r="6743" spans="1:1">
      <c r="A6743" s="45"/>
    </row>
    <row r="6744" spans="1:1">
      <c r="A6744" s="45"/>
    </row>
    <row r="6745" spans="1:1">
      <c r="A6745" s="45"/>
    </row>
    <row r="6746" spans="1:1">
      <c r="A6746" s="45"/>
    </row>
    <row r="6747" spans="1:1">
      <c r="A6747" s="45"/>
    </row>
    <row r="6748" spans="1:1">
      <c r="A6748" s="45"/>
    </row>
    <row r="6749" spans="1:1">
      <c r="A6749" s="45"/>
    </row>
    <row r="6750" spans="1:1">
      <c r="A6750" s="45"/>
    </row>
    <row r="6751" spans="1:1">
      <c r="A6751" s="45"/>
    </row>
    <row r="6752" spans="1:1">
      <c r="A6752" s="45"/>
    </row>
    <row r="6753" spans="1:1">
      <c r="A6753" s="45"/>
    </row>
    <row r="6754" spans="1:1">
      <c r="A6754" s="45"/>
    </row>
    <row r="6755" spans="1:1">
      <c r="A6755" s="45"/>
    </row>
    <row r="6756" spans="1:1">
      <c r="A6756" s="45"/>
    </row>
    <row r="6757" spans="1:1">
      <c r="A6757" s="45"/>
    </row>
    <row r="6758" spans="1:1">
      <c r="A6758" s="45"/>
    </row>
    <row r="6759" spans="1:1">
      <c r="A6759" s="45"/>
    </row>
    <row r="6760" spans="1:1">
      <c r="A6760" s="45"/>
    </row>
    <row r="6761" spans="1:1">
      <c r="A6761" s="45"/>
    </row>
    <row r="6762" spans="1:1">
      <c r="A6762" s="45"/>
    </row>
    <row r="6763" spans="1:1">
      <c r="A6763" s="45"/>
    </row>
    <row r="6764" spans="1:1">
      <c r="A6764" s="45"/>
    </row>
    <row r="6765" spans="1:1">
      <c r="A6765" s="45"/>
    </row>
    <row r="6766" spans="1:1">
      <c r="A6766" s="45"/>
    </row>
    <row r="6767" spans="1:1">
      <c r="A6767" s="45"/>
    </row>
    <row r="6768" spans="1:1">
      <c r="A6768" s="45"/>
    </row>
    <row r="6769" spans="1:1">
      <c r="A6769" s="45"/>
    </row>
    <row r="6770" spans="1:1">
      <c r="A6770" s="45"/>
    </row>
    <row r="6771" spans="1:1">
      <c r="A6771" s="45"/>
    </row>
    <row r="6772" spans="1:1">
      <c r="A6772" s="45"/>
    </row>
    <row r="6773" spans="1:1">
      <c r="A6773" s="45"/>
    </row>
    <row r="6774" spans="1:1">
      <c r="A6774" s="45"/>
    </row>
    <row r="6775" spans="1:1">
      <c r="A6775" s="45"/>
    </row>
    <row r="6776" spans="1:1">
      <c r="A6776" s="45"/>
    </row>
    <row r="6777" spans="1:1">
      <c r="A6777" s="45"/>
    </row>
    <row r="6778" spans="1:1">
      <c r="A6778" s="45"/>
    </row>
    <row r="6779" spans="1:1">
      <c r="A6779" s="45"/>
    </row>
    <row r="6780" spans="1:1">
      <c r="A6780" s="45"/>
    </row>
    <row r="6781" spans="1:1">
      <c r="A6781" s="45"/>
    </row>
    <row r="6782" spans="1:1">
      <c r="A6782" s="45"/>
    </row>
    <row r="6783" spans="1:1">
      <c r="A6783" s="45"/>
    </row>
    <row r="6784" spans="1:1">
      <c r="A6784" s="45"/>
    </row>
    <row r="6785" spans="1:1">
      <c r="A6785" s="45"/>
    </row>
    <row r="6786" spans="1:1">
      <c r="A6786" s="45"/>
    </row>
    <row r="6787" spans="1:1">
      <c r="A6787" s="45"/>
    </row>
    <row r="6788" spans="1:1">
      <c r="A6788" s="45"/>
    </row>
    <row r="6789" spans="1:1">
      <c r="A6789" s="45"/>
    </row>
    <row r="6790" spans="1:1">
      <c r="A6790" s="45"/>
    </row>
    <row r="6791" spans="1:1">
      <c r="A6791" s="45"/>
    </row>
    <row r="6792" spans="1:1">
      <c r="A6792" s="45"/>
    </row>
    <row r="6793" spans="1:1">
      <c r="A6793" s="45"/>
    </row>
    <row r="6794" spans="1:1">
      <c r="A6794" s="45"/>
    </row>
    <row r="6795" spans="1:1">
      <c r="A6795" s="45"/>
    </row>
    <row r="6796" spans="1:1">
      <c r="A6796" s="45"/>
    </row>
    <row r="6797" spans="1:1">
      <c r="A6797" s="45"/>
    </row>
    <row r="6798" spans="1:1">
      <c r="A6798" s="45"/>
    </row>
    <row r="6799" spans="1:1">
      <c r="A6799" s="45"/>
    </row>
    <row r="6800" spans="1:1">
      <c r="A6800" s="45"/>
    </row>
    <row r="6801" spans="1:1">
      <c r="A6801" s="45"/>
    </row>
    <row r="6802" spans="1:1">
      <c r="A6802" s="45"/>
    </row>
    <row r="6803" spans="1:1">
      <c r="A6803" s="45"/>
    </row>
    <row r="6804" spans="1:1">
      <c r="A6804" s="45"/>
    </row>
    <row r="6805" spans="1:1">
      <c r="A6805" s="45"/>
    </row>
    <row r="6806" spans="1:1">
      <c r="A6806" s="45"/>
    </row>
    <row r="6807" spans="1:1">
      <c r="A6807" s="45"/>
    </row>
    <row r="6808" spans="1:1">
      <c r="A6808" s="45"/>
    </row>
    <row r="6809" spans="1:1">
      <c r="A6809" s="45"/>
    </row>
    <row r="6810" spans="1:1">
      <c r="A6810" s="45"/>
    </row>
    <row r="6811" spans="1:1">
      <c r="A6811" s="45"/>
    </row>
    <row r="6812" spans="1:1">
      <c r="A6812" s="45"/>
    </row>
    <row r="6813" spans="1:1">
      <c r="A6813" s="45"/>
    </row>
    <row r="6814" spans="1:1">
      <c r="A6814" s="45"/>
    </row>
    <row r="6815" spans="1:1">
      <c r="A6815" s="45"/>
    </row>
    <row r="6816" spans="1:1">
      <c r="A6816" s="45"/>
    </row>
    <row r="6817" spans="1:1">
      <c r="A6817" s="45"/>
    </row>
    <row r="6818" spans="1:1">
      <c r="A6818" s="45"/>
    </row>
    <row r="6819" spans="1:1">
      <c r="A6819" s="45"/>
    </row>
    <row r="6820" spans="1:1">
      <c r="A6820" s="45"/>
    </row>
    <row r="6821" spans="1:1">
      <c r="A6821" s="45"/>
    </row>
    <row r="6822" spans="1:1">
      <c r="A6822" s="45"/>
    </row>
    <row r="6823" spans="1:1">
      <c r="A6823" s="45"/>
    </row>
    <row r="6824" spans="1:1">
      <c r="A6824" s="45"/>
    </row>
    <row r="6825" spans="1:1">
      <c r="A6825" s="45"/>
    </row>
    <row r="6826" spans="1:1">
      <c r="A6826" s="45"/>
    </row>
    <row r="6827" spans="1:1">
      <c r="A6827" s="45"/>
    </row>
    <row r="6828" spans="1:1">
      <c r="A6828" s="45"/>
    </row>
    <row r="6829" spans="1:1">
      <c r="A6829" s="45"/>
    </row>
    <row r="6830" spans="1:1">
      <c r="A6830" s="45"/>
    </row>
    <row r="6831" spans="1:1">
      <c r="A6831" s="45"/>
    </row>
    <row r="6832" spans="1:1">
      <c r="A6832" s="45"/>
    </row>
    <row r="6833" spans="1:1">
      <c r="A6833" s="45"/>
    </row>
    <row r="6834" spans="1:1">
      <c r="A6834" s="45"/>
    </row>
    <row r="6835" spans="1:1">
      <c r="A6835" s="45"/>
    </row>
    <row r="6836" spans="1:1">
      <c r="A6836" s="45"/>
    </row>
    <row r="6837" spans="1:1">
      <c r="A6837" s="45"/>
    </row>
    <row r="6838" spans="1:1">
      <c r="A6838" s="45"/>
    </row>
    <row r="6839" spans="1:1">
      <c r="A6839" s="45"/>
    </row>
    <row r="6840" spans="1:1">
      <c r="A6840" s="45"/>
    </row>
    <row r="6841" spans="1:1">
      <c r="A6841" s="45"/>
    </row>
    <row r="6842" spans="1:1">
      <c r="A6842" s="45"/>
    </row>
    <row r="6843" spans="1:1">
      <c r="A6843" s="45"/>
    </row>
    <row r="6844" spans="1:1">
      <c r="A6844" s="45"/>
    </row>
    <row r="6845" spans="1:1">
      <c r="A6845" s="45"/>
    </row>
    <row r="6846" spans="1:1">
      <c r="A6846" s="45"/>
    </row>
    <row r="6847" spans="1:1">
      <c r="A6847" s="45"/>
    </row>
    <row r="6848" spans="1:1">
      <c r="A6848" s="45"/>
    </row>
    <row r="6849" spans="1:1">
      <c r="A6849" s="45"/>
    </row>
    <row r="6850" spans="1:1">
      <c r="A6850" s="45"/>
    </row>
    <row r="6851" spans="1:1">
      <c r="A6851" s="45"/>
    </row>
    <row r="6852" spans="1:1">
      <c r="A6852" s="45"/>
    </row>
    <row r="6853" spans="1:1">
      <c r="A6853" s="45"/>
    </row>
    <row r="6854" spans="1:1">
      <c r="A6854" s="45"/>
    </row>
    <row r="6855" spans="1:1">
      <c r="A6855" s="45"/>
    </row>
    <row r="6856" spans="1:1">
      <c r="A6856" s="45"/>
    </row>
    <row r="6857" spans="1:1">
      <c r="A6857" s="45"/>
    </row>
    <row r="6858" spans="1:1">
      <c r="A6858" s="45"/>
    </row>
    <row r="6859" spans="1:1">
      <c r="A6859" s="45"/>
    </row>
    <row r="6860" spans="1:1">
      <c r="A6860" s="45"/>
    </row>
    <row r="6861" spans="1:1">
      <c r="A6861" s="45"/>
    </row>
    <row r="6862" spans="1:1">
      <c r="A6862" s="45"/>
    </row>
    <row r="6863" spans="1:1">
      <c r="A6863" s="45"/>
    </row>
    <row r="6864" spans="1:1">
      <c r="A6864" s="45"/>
    </row>
    <row r="6865" spans="1:1">
      <c r="A6865" s="45"/>
    </row>
    <row r="6866" spans="1:1">
      <c r="A6866" s="45"/>
    </row>
    <row r="6867" spans="1:1">
      <c r="A6867" s="45"/>
    </row>
    <row r="6868" spans="1:1">
      <c r="A6868" s="45"/>
    </row>
    <row r="6869" spans="1:1">
      <c r="A6869" s="45"/>
    </row>
    <row r="6870" spans="1:1">
      <c r="A6870" s="45"/>
    </row>
    <row r="6871" spans="1:1">
      <c r="A6871" s="45"/>
    </row>
    <row r="6872" spans="1:1">
      <c r="A6872" s="45"/>
    </row>
    <row r="6873" spans="1:1">
      <c r="A6873" s="45"/>
    </row>
    <row r="6874" spans="1:1">
      <c r="A6874" s="45"/>
    </row>
    <row r="6875" spans="1:1">
      <c r="A6875" s="45"/>
    </row>
    <row r="6876" spans="1:1">
      <c r="A6876" s="45"/>
    </row>
    <row r="6877" spans="1:1">
      <c r="A6877" s="45"/>
    </row>
    <row r="6878" spans="1:1">
      <c r="A6878" s="45"/>
    </row>
    <row r="6879" spans="1:1">
      <c r="A6879" s="45"/>
    </row>
    <row r="6880" spans="1:1">
      <c r="A6880" s="45"/>
    </row>
    <row r="6881" spans="1:1">
      <c r="A6881" s="45"/>
    </row>
    <row r="6882" spans="1:1">
      <c r="A6882" s="45"/>
    </row>
    <row r="6883" spans="1:1">
      <c r="A6883" s="45"/>
    </row>
    <row r="6884" spans="1:1">
      <c r="A6884" s="45"/>
    </row>
    <row r="6885" spans="1:1">
      <c r="A6885" s="45"/>
    </row>
    <row r="6886" spans="1:1">
      <c r="A6886" s="45"/>
    </row>
    <row r="6887" spans="1:1">
      <c r="A6887" s="45"/>
    </row>
    <row r="6888" spans="1:1">
      <c r="A6888" s="45"/>
    </row>
    <row r="6889" spans="1:1">
      <c r="A6889" s="45"/>
    </row>
    <row r="6890" spans="1:1">
      <c r="A6890" s="45"/>
    </row>
    <row r="6891" spans="1:1">
      <c r="A6891" s="45"/>
    </row>
    <row r="6892" spans="1:1">
      <c r="A6892" s="45"/>
    </row>
    <row r="6893" spans="1:1">
      <c r="A6893" s="45"/>
    </row>
    <row r="6894" spans="1:1">
      <c r="A6894" s="45"/>
    </row>
    <row r="6895" spans="1:1">
      <c r="A6895" s="45"/>
    </row>
    <row r="6896" spans="1:1">
      <c r="A6896" s="45"/>
    </row>
    <row r="6897" spans="1:1">
      <c r="A6897" s="45"/>
    </row>
    <row r="6898" spans="1:1">
      <c r="A6898" s="45"/>
    </row>
    <row r="6899" spans="1:1">
      <c r="A6899" s="45"/>
    </row>
    <row r="6900" spans="1:1">
      <c r="A6900" s="45"/>
    </row>
    <row r="6901" spans="1:1">
      <c r="A6901" s="45"/>
    </row>
    <row r="6902" spans="1:1">
      <c r="A6902" s="45"/>
    </row>
    <row r="6903" spans="1:1">
      <c r="A6903" s="45"/>
    </row>
    <row r="6904" spans="1:1">
      <c r="A6904" s="45"/>
    </row>
    <row r="6905" spans="1:1">
      <c r="A6905" s="45"/>
    </row>
    <row r="6906" spans="1:1">
      <c r="A6906" s="45"/>
    </row>
    <row r="6907" spans="1:1">
      <c r="A6907" s="45"/>
    </row>
    <row r="6908" spans="1:1">
      <c r="A6908" s="45"/>
    </row>
    <row r="6909" spans="1:1">
      <c r="A6909" s="45"/>
    </row>
    <row r="6910" spans="1:1">
      <c r="A6910" s="45"/>
    </row>
    <row r="6911" spans="1:1">
      <c r="A6911" s="45"/>
    </row>
    <row r="6912" spans="1:1">
      <c r="A6912" s="45"/>
    </row>
    <row r="6913" spans="1:1">
      <c r="A6913" s="45"/>
    </row>
    <row r="6914" spans="1:1">
      <c r="A6914" s="45"/>
    </row>
    <row r="6915" spans="1:1">
      <c r="A6915" s="45"/>
    </row>
    <row r="6916" spans="1:1">
      <c r="A6916" s="45"/>
    </row>
    <row r="6917" spans="1:1">
      <c r="A6917" s="45"/>
    </row>
    <row r="6918" spans="1:1">
      <c r="A6918" s="45"/>
    </row>
    <row r="6919" spans="1:1">
      <c r="A6919" s="45"/>
    </row>
    <row r="6920" spans="1:1">
      <c r="A6920" s="45"/>
    </row>
    <row r="6921" spans="1:1">
      <c r="A6921" s="45"/>
    </row>
    <row r="6922" spans="1:1">
      <c r="A6922" s="45"/>
    </row>
    <row r="6923" spans="1:1">
      <c r="A6923" s="45"/>
    </row>
    <row r="6924" spans="1:1">
      <c r="A6924" s="45"/>
    </row>
    <row r="6925" spans="1:1">
      <c r="A6925" s="45"/>
    </row>
    <row r="6926" spans="1:1">
      <c r="A6926" s="45"/>
    </row>
    <row r="6927" spans="1:1">
      <c r="A6927" s="45"/>
    </row>
    <row r="6928" spans="1:1">
      <c r="A6928" s="45"/>
    </row>
    <row r="6929" spans="1:1">
      <c r="A6929" s="45"/>
    </row>
    <row r="6930" spans="1:1">
      <c r="A6930" s="45"/>
    </row>
    <row r="6931" spans="1:1">
      <c r="A6931" s="45"/>
    </row>
    <row r="6932" spans="1:1">
      <c r="A6932" s="45"/>
    </row>
    <row r="6933" spans="1:1">
      <c r="A6933" s="45"/>
    </row>
    <row r="6934" spans="1:1">
      <c r="A6934" s="45"/>
    </row>
    <row r="6935" spans="1:1">
      <c r="A6935" s="45"/>
    </row>
    <row r="6936" spans="1:1">
      <c r="A6936" s="45"/>
    </row>
    <row r="6937" spans="1:1">
      <c r="A6937" s="45"/>
    </row>
    <row r="6938" spans="1:1">
      <c r="A6938" s="45"/>
    </row>
    <row r="6939" spans="1:1">
      <c r="A6939" s="45"/>
    </row>
    <row r="6940" spans="1:1">
      <c r="A6940" s="45"/>
    </row>
    <row r="6941" spans="1:1">
      <c r="A6941" s="45"/>
    </row>
    <row r="6942" spans="1:1">
      <c r="A6942" s="45"/>
    </row>
    <row r="6943" spans="1:1">
      <c r="A6943" s="45"/>
    </row>
    <row r="6944" spans="1:1">
      <c r="A6944" s="45"/>
    </row>
    <row r="6945" spans="1:1">
      <c r="A6945" s="45"/>
    </row>
    <row r="6946" spans="1:1">
      <c r="A6946" s="45"/>
    </row>
    <row r="6947" spans="1:1">
      <c r="A6947" s="45"/>
    </row>
    <row r="6948" spans="1:1">
      <c r="A6948" s="45"/>
    </row>
    <row r="6949" spans="1:1">
      <c r="A6949" s="45"/>
    </row>
    <row r="6950" spans="1:1">
      <c r="A6950" s="45"/>
    </row>
    <row r="6951" spans="1:1">
      <c r="A6951" s="45"/>
    </row>
    <row r="6952" spans="1:1">
      <c r="A6952" s="45"/>
    </row>
    <row r="6953" spans="1:1">
      <c r="A6953" s="45"/>
    </row>
    <row r="6954" spans="1:1">
      <c r="A6954" s="45"/>
    </row>
    <row r="6955" spans="1:1">
      <c r="A6955" s="45"/>
    </row>
    <row r="6956" spans="1:1">
      <c r="A6956" s="45"/>
    </row>
    <row r="6957" spans="1:1">
      <c r="A6957" s="45"/>
    </row>
    <row r="6958" spans="1:1">
      <c r="A6958" s="45"/>
    </row>
    <row r="6959" spans="1:1">
      <c r="A6959" s="45"/>
    </row>
    <row r="6960" spans="1:1">
      <c r="A6960" s="45"/>
    </row>
    <row r="6961" spans="1:1">
      <c r="A6961" s="45"/>
    </row>
    <row r="6962" spans="1:1">
      <c r="A6962" s="45"/>
    </row>
    <row r="6963" spans="1:1">
      <c r="A6963" s="45"/>
    </row>
    <row r="6964" spans="1:1">
      <c r="A6964" s="45"/>
    </row>
    <row r="6965" spans="1:1">
      <c r="A6965" s="45"/>
    </row>
    <row r="6966" spans="1:1">
      <c r="A6966" s="45"/>
    </row>
    <row r="6967" spans="1:1">
      <c r="A6967" s="45"/>
    </row>
    <row r="6968" spans="1:1">
      <c r="A6968" s="45"/>
    </row>
    <row r="6969" spans="1:1">
      <c r="A6969" s="45"/>
    </row>
    <row r="6970" spans="1:1">
      <c r="A6970" s="45"/>
    </row>
    <row r="6971" spans="1:1">
      <c r="A6971" s="45"/>
    </row>
    <row r="6972" spans="1:1">
      <c r="A6972" s="45"/>
    </row>
    <row r="6973" spans="1:1">
      <c r="A6973" s="45"/>
    </row>
    <row r="6974" spans="1:1">
      <c r="A6974" s="45"/>
    </row>
    <row r="6975" spans="1:1">
      <c r="A6975" s="45"/>
    </row>
    <row r="6976" spans="1:1">
      <c r="A6976" s="45"/>
    </row>
    <row r="6977" spans="1:1">
      <c r="A6977" s="45"/>
    </row>
    <row r="6978" spans="1:1">
      <c r="A6978" s="45"/>
    </row>
    <row r="6979" spans="1:1">
      <c r="A6979" s="45"/>
    </row>
    <row r="6980" spans="1:1">
      <c r="A6980" s="45"/>
    </row>
    <row r="6981" spans="1:1">
      <c r="A6981" s="45"/>
    </row>
    <row r="6982" spans="1:1">
      <c r="A6982" s="45"/>
    </row>
    <row r="6983" spans="1:1">
      <c r="A6983" s="45"/>
    </row>
    <row r="6984" spans="1:1">
      <c r="A6984" s="45"/>
    </row>
    <row r="6985" spans="1:1">
      <c r="A6985" s="45"/>
    </row>
    <row r="6986" spans="1:1">
      <c r="A6986" s="45"/>
    </row>
    <row r="6987" spans="1:1">
      <c r="A6987" s="45"/>
    </row>
    <row r="6988" spans="1:1">
      <c r="A6988" s="45"/>
    </row>
    <row r="6989" spans="1:1">
      <c r="A6989" s="45"/>
    </row>
    <row r="6990" spans="1:1">
      <c r="A6990" s="45"/>
    </row>
    <row r="6991" spans="1:1">
      <c r="A6991" s="45"/>
    </row>
    <row r="6992" spans="1:1">
      <c r="A6992" s="45"/>
    </row>
    <row r="6993" spans="1:1">
      <c r="A6993" s="45"/>
    </row>
    <row r="6994" spans="1:1">
      <c r="A6994" s="45"/>
    </row>
    <row r="6995" spans="1:1">
      <c r="A6995" s="45"/>
    </row>
    <row r="6996" spans="1:1">
      <c r="A6996" s="45"/>
    </row>
    <row r="6997" spans="1:1">
      <c r="A6997" s="45"/>
    </row>
    <row r="6998" spans="1:1">
      <c r="A6998" s="45"/>
    </row>
    <row r="6999" spans="1:1">
      <c r="A6999" s="45"/>
    </row>
    <row r="7000" spans="1:1">
      <c r="A7000" s="45"/>
    </row>
    <row r="7001" spans="1:1">
      <c r="A7001" s="45"/>
    </row>
    <row r="7002" spans="1:1">
      <c r="A7002" s="45"/>
    </row>
    <row r="7003" spans="1:1">
      <c r="A7003" s="45"/>
    </row>
    <row r="7004" spans="1:1">
      <c r="A7004" s="45"/>
    </row>
    <row r="7005" spans="1:1">
      <c r="A7005" s="45"/>
    </row>
    <row r="7006" spans="1:1">
      <c r="A7006" s="45"/>
    </row>
    <row r="7007" spans="1:1">
      <c r="A7007" s="45"/>
    </row>
    <row r="7008" spans="1:1">
      <c r="A7008" s="45"/>
    </row>
    <row r="7009" spans="1:1">
      <c r="A7009" s="45"/>
    </row>
    <row r="7010" spans="1:1">
      <c r="A7010" s="45"/>
    </row>
    <row r="7011" spans="1:1">
      <c r="A7011" s="45"/>
    </row>
    <row r="7012" spans="1:1">
      <c r="A7012" s="45"/>
    </row>
    <row r="7013" spans="1:1">
      <c r="A7013" s="45"/>
    </row>
    <row r="7014" spans="1:1">
      <c r="A7014" s="45"/>
    </row>
    <row r="7015" spans="1:1">
      <c r="A7015" s="45"/>
    </row>
    <row r="7016" spans="1:1">
      <c r="A7016" s="45"/>
    </row>
    <row r="7017" spans="1:1">
      <c r="A7017" s="45"/>
    </row>
    <row r="7018" spans="1:1">
      <c r="A7018" s="45"/>
    </row>
    <row r="7019" spans="1:1">
      <c r="A7019" s="45"/>
    </row>
    <row r="7020" spans="1:1">
      <c r="A7020" s="45"/>
    </row>
    <row r="7021" spans="1:1">
      <c r="A7021" s="45"/>
    </row>
    <row r="7022" spans="1:1">
      <c r="A7022" s="45"/>
    </row>
    <row r="7023" spans="1:1">
      <c r="A7023" s="45"/>
    </row>
    <row r="7024" spans="1:1">
      <c r="A7024" s="45"/>
    </row>
    <row r="7025" spans="1:1">
      <c r="A7025" s="45"/>
    </row>
    <row r="7026" spans="1:1">
      <c r="A7026" s="45"/>
    </row>
    <row r="7027" spans="1:1">
      <c r="A7027" s="45"/>
    </row>
    <row r="7028" spans="1:1">
      <c r="A7028" s="45"/>
    </row>
    <row r="7029" spans="1:1">
      <c r="A7029" s="45"/>
    </row>
    <row r="7030" spans="1:1">
      <c r="A7030" s="45"/>
    </row>
    <row r="7031" spans="1:1">
      <c r="A7031" s="45"/>
    </row>
    <row r="7032" spans="1:1">
      <c r="A7032" s="45"/>
    </row>
    <row r="7033" spans="1:1">
      <c r="A7033" s="45"/>
    </row>
    <row r="7034" spans="1:1">
      <c r="A7034" s="45"/>
    </row>
    <row r="7035" spans="1:1">
      <c r="A7035" s="45"/>
    </row>
    <row r="7036" spans="1:1">
      <c r="A7036" s="45"/>
    </row>
    <row r="7037" spans="1:1">
      <c r="A7037" s="45"/>
    </row>
    <row r="7038" spans="1:1">
      <c r="A7038" s="45"/>
    </row>
    <row r="7039" spans="1:1">
      <c r="A7039" s="45"/>
    </row>
    <row r="7040" spans="1:1">
      <c r="A7040" s="45"/>
    </row>
    <row r="7041" spans="1:1">
      <c r="A7041" s="45"/>
    </row>
    <row r="7042" spans="1:1">
      <c r="A7042" s="45"/>
    </row>
    <row r="7043" spans="1:1">
      <c r="A7043" s="45"/>
    </row>
    <row r="7044" spans="1:1">
      <c r="A7044" s="45"/>
    </row>
    <row r="7045" spans="1:1">
      <c r="A7045" s="45"/>
    </row>
    <row r="7046" spans="1:1">
      <c r="A7046" s="45"/>
    </row>
    <row r="7047" spans="1:1">
      <c r="A7047" s="45"/>
    </row>
    <row r="7048" spans="1:1">
      <c r="A7048" s="45"/>
    </row>
    <row r="7049" spans="1:1">
      <c r="A7049" s="45"/>
    </row>
    <row r="7050" spans="1:1">
      <c r="A7050" s="45"/>
    </row>
    <row r="7051" spans="1:1">
      <c r="A7051" s="45"/>
    </row>
    <row r="7052" spans="1:1">
      <c r="A7052" s="45"/>
    </row>
    <row r="7053" spans="1:1">
      <c r="A7053" s="45"/>
    </row>
    <row r="7054" spans="1:1">
      <c r="A7054" s="45"/>
    </row>
    <row r="7055" spans="1:1">
      <c r="A7055" s="45"/>
    </row>
    <row r="7056" spans="1:1">
      <c r="A7056" s="45"/>
    </row>
    <row r="7057" spans="1:1">
      <c r="A7057" s="45"/>
    </row>
    <row r="7058" spans="1:1">
      <c r="A7058" s="45"/>
    </row>
    <row r="7059" spans="1:1">
      <c r="A7059" s="45"/>
    </row>
    <row r="7060" spans="1:1">
      <c r="A7060" s="45"/>
    </row>
    <row r="7061" spans="1:1">
      <c r="A7061" s="45"/>
    </row>
    <row r="7062" spans="1:1">
      <c r="A7062" s="45"/>
    </row>
    <row r="7063" spans="1:1">
      <c r="A7063" s="45"/>
    </row>
    <row r="7064" spans="1:1">
      <c r="A7064" s="45"/>
    </row>
    <row r="7065" spans="1:1">
      <c r="A7065" s="45"/>
    </row>
    <row r="7066" spans="1:1">
      <c r="A7066" s="45"/>
    </row>
    <row r="7067" spans="1:1">
      <c r="A7067" s="45"/>
    </row>
    <row r="7068" spans="1:1">
      <c r="A7068" s="45"/>
    </row>
    <row r="7069" spans="1:1">
      <c r="A7069" s="45"/>
    </row>
    <row r="7070" spans="1:1">
      <c r="A7070" s="45"/>
    </row>
    <row r="7071" spans="1:1">
      <c r="A7071" s="45"/>
    </row>
    <row r="7072" spans="1:1">
      <c r="A7072" s="45"/>
    </row>
    <row r="7073" spans="1:1">
      <c r="A7073" s="45"/>
    </row>
    <row r="7074" spans="1:1">
      <c r="A7074" s="45"/>
    </row>
    <row r="7075" spans="1:1">
      <c r="A7075" s="45"/>
    </row>
    <row r="7076" spans="1:1">
      <c r="A7076" s="45"/>
    </row>
    <row r="7077" spans="1:1">
      <c r="A7077" s="45"/>
    </row>
    <row r="7078" spans="1:1">
      <c r="A7078" s="45"/>
    </row>
    <row r="7079" spans="1:1">
      <c r="A7079" s="45"/>
    </row>
    <row r="7080" spans="1:1">
      <c r="A7080" s="45"/>
    </row>
    <row r="7081" spans="1:1">
      <c r="A7081" s="45"/>
    </row>
    <row r="7082" spans="1:1">
      <c r="A7082" s="45"/>
    </row>
    <row r="7083" spans="1:1">
      <c r="A7083" s="45"/>
    </row>
    <row r="7084" spans="1:1">
      <c r="A7084" s="45"/>
    </row>
    <row r="7085" spans="1:1">
      <c r="A7085" s="45"/>
    </row>
    <row r="7086" spans="1:1">
      <c r="A7086" s="45"/>
    </row>
    <row r="7087" spans="1:1">
      <c r="A7087" s="45"/>
    </row>
    <row r="7088" spans="1:1">
      <c r="A7088" s="45"/>
    </row>
    <row r="7089" spans="1:1">
      <c r="A7089" s="45"/>
    </row>
    <row r="7090" spans="1:1">
      <c r="A7090" s="45"/>
    </row>
    <row r="7091" spans="1:1">
      <c r="A7091" s="45"/>
    </row>
    <row r="7092" spans="1:1">
      <c r="A7092" s="45"/>
    </row>
    <row r="7093" spans="1:1">
      <c r="A7093" s="45"/>
    </row>
    <row r="7094" spans="1:1">
      <c r="A7094" s="45"/>
    </row>
    <row r="7095" spans="1:1">
      <c r="A7095" s="45"/>
    </row>
    <row r="7096" spans="1:1">
      <c r="A7096" s="45"/>
    </row>
    <row r="7097" spans="1:1">
      <c r="A7097" s="45"/>
    </row>
    <row r="7098" spans="1:1">
      <c r="A7098" s="45"/>
    </row>
    <row r="7099" spans="1:1">
      <c r="A7099" s="45"/>
    </row>
    <row r="7100" spans="1:1">
      <c r="A7100" s="45"/>
    </row>
    <row r="7101" spans="1:1">
      <c r="A7101" s="45"/>
    </row>
    <row r="7102" spans="1:1">
      <c r="A7102" s="45"/>
    </row>
    <row r="7103" spans="1:1">
      <c r="A7103" s="45"/>
    </row>
    <row r="7104" spans="1:1">
      <c r="A7104" s="45"/>
    </row>
    <row r="7105" spans="1:1">
      <c r="A7105" s="45"/>
    </row>
    <row r="7106" spans="1:1">
      <c r="A7106" s="45"/>
    </row>
    <row r="7107" spans="1:1">
      <c r="A7107" s="45"/>
    </row>
    <row r="7108" spans="1:1">
      <c r="A7108" s="45"/>
    </row>
    <row r="7109" spans="1:1">
      <c r="A7109" s="45"/>
    </row>
    <row r="7110" spans="1:1">
      <c r="A7110" s="45"/>
    </row>
    <row r="7111" spans="1:1">
      <c r="A7111" s="45"/>
    </row>
    <row r="7112" spans="1:1">
      <c r="A7112" s="45"/>
    </row>
    <row r="7113" spans="1:1">
      <c r="A7113" s="45"/>
    </row>
    <row r="7114" spans="1:1">
      <c r="A7114" s="45"/>
    </row>
    <row r="7115" spans="1:1">
      <c r="A7115" s="45"/>
    </row>
    <row r="7116" spans="1:1">
      <c r="A7116" s="45"/>
    </row>
    <row r="7117" spans="1:1">
      <c r="A7117" s="45"/>
    </row>
    <row r="7118" spans="1:1">
      <c r="A7118" s="45"/>
    </row>
    <row r="7119" spans="1:1">
      <c r="A7119" s="45"/>
    </row>
    <row r="7120" spans="1:1">
      <c r="A7120" s="45"/>
    </row>
    <row r="7121" spans="1:1">
      <c r="A7121" s="45"/>
    </row>
    <row r="7122" spans="1:1">
      <c r="A7122" s="45"/>
    </row>
    <row r="7123" spans="1:1">
      <c r="A7123" s="45"/>
    </row>
    <row r="7124" spans="1:1">
      <c r="A7124" s="45"/>
    </row>
    <row r="7125" spans="1:1">
      <c r="A7125" s="45"/>
    </row>
    <row r="7126" spans="1:1">
      <c r="A7126" s="45"/>
    </row>
    <row r="7127" spans="1:1">
      <c r="A7127" s="45"/>
    </row>
    <row r="7128" spans="1:1">
      <c r="A7128" s="45"/>
    </row>
    <row r="7129" spans="1:1">
      <c r="A7129" s="45"/>
    </row>
    <row r="7130" spans="1:1">
      <c r="A7130" s="45"/>
    </row>
    <row r="7131" spans="1:1">
      <c r="A7131" s="45"/>
    </row>
    <row r="7132" spans="1:1">
      <c r="A7132" s="45"/>
    </row>
    <row r="7133" spans="1:1">
      <c r="A7133" s="45"/>
    </row>
    <row r="7134" spans="1:1">
      <c r="A7134" s="45"/>
    </row>
    <row r="7135" spans="1:1">
      <c r="A7135" s="45"/>
    </row>
    <row r="7136" spans="1:1">
      <c r="A7136" s="45"/>
    </row>
    <row r="7137" spans="1:1">
      <c r="A7137" s="45"/>
    </row>
    <row r="7138" spans="1:1">
      <c r="A7138" s="45"/>
    </row>
    <row r="7139" spans="1:1">
      <c r="A7139" s="45"/>
    </row>
    <row r="7140" spans="1:1">
      <c r="A7140" s="45"/>
    </row>
    <row r="7141" spans="1:1">
      <c r="A7141" s="45"/>
    </row>
    <row r="7142" spans="1:1">
      <c r="A7142" s="45"/>
    </row>
    <row r="7143" spans="1:1">
      <c r="A7143" s="45"/>
    </row>
    <row r="7144" spans="1:1">
      <c r="A7144" s="45"/>
    </row>
    <row r="7145" spans="1:1">
      <c r="A7145" s="45"/>
    </row>
    <row r="7146" spans="1:1">
      <c r="A7146" s="45"/>
    </row>
    <row r="7147" spans="1:1">
      <c r="A7147" s="45"/>
    </row>
    <row r="7148" spans="1:1">
      <c r="A7148" s="45"/>
    </row>
    <row r="7149" spans="1:1">
      <c r="A7149" s="45"/>
    </row>
    <row r="7150" spans="1:1">
      <c r="A7150" s="45"/>
    </row>
    <row r="7151" spans="1:1">
      <c r="A7151" s="45"/>
    </row>
    <row r="7152" spans="1:1">
      <c r="A7152" s="45"/>
    </row>
    <row r="7153" spans="1:1">
      <c r="A7153" s="45"/>
    </row>
    <row r="7154" spans="1:1">
      <c r="A7154" s="45"/>
    </row>
    <row r="7155" spans="1:1">
      <c r="A7155" s="45"/>
    </row>
    <row r="7156" spans="1:1">
      <c r="A7156" s="45"/>
    </row>
    <row r="7157" spans="1:1">
      <c r="A7157" s="45"/>
    </row>
    <row r="7158" spans="1:1">
      <c r="A7158" s="45"/>
    </row>
    <row r="7159" spans="1:1">
      <c r="A7159" s="45"/>
    </row>
    <row r="7160" spans="1:1">
      <c r="A7160" s="45"/>
    </row>
    <row r="7161" spans="1:1">
      <c r="A7161" s="45"/>
    </row>
    <row r="7162" spans="1:1">
      <c r="A7162" s="45"/>
    </row>
    <row r="7163" spans="1:1">
      <c r="A7163" s="45"/>
    </row>
    <row r="7164" spans="1:1">
      <c r="A7164" s="45"/>
    </row>
    <row r="7165" spans="1:1">
      <c r="A7165" s="45"/>
    </row>
    <row r="7166" spans="1:1">
      <c r="A7166" s="45"/>
    </row>
    <row r="7167" spans="1:1">
      <c r="A7167" s="45"/>
    </row>
    <row r="7168" spans="1:1">
      <c r="A7168" s="45"/>
    </row>
    <row r="7169" spans="1:1">
      <c r="A7169" s="45"/>
    </row>
    <row r="7170" spans="1:1">
      <c r="A7170" s="45"/>
    </row>
    <row r="7171" spans="1:1">
      <c r="A7171" s="45"/>
    </row>
    <row r="7172" spans="1:1">
      <c r="A7172" s="45"/>
    </row>
    <row r="7173" spans="1:1">
      <c r="A7173" s="45"/>
    </row>
    <row r="7174" spans="1:1">
      <c r="A7174" s="45"/>
    </row>
    <row r="7175" spans="1:1">
      <c r="A7175" s="45"/>
    </row>
    <row r="7176" spans="1:1">
      <c r="A7176" s="45"/>
    </row>
    <row r="7177" spans="1:1">
      <c r="A7177" s="45"/>
    </row>
    <row r="7178" spans="1:1">
      <c r="A7178" s="45"/>
    </row>
    <row r="7179" spans="1:1">
      <c r="A7179" s="45"/>
    </row>
    <row r="7180" spans="1:1">
      <c r="A7180" s="45"/>
    </row>
    <row r="7181" spans="1:1">
      <c r="A7181" s="45"/>
    </row>
    <row r="7182" spans="1:1">
      <c r="A7182" s="45"/>
    </row>
    <row r="7183" spans="1:1">
      <c r="A7183" s="45"/>
    </row>
    <row r="7184" spans="1:1">
      <c r="A7184" s="45"/>
    </row>
    <row r="7185" spans="1:1">
      <c r="A7185" s="45"/>
    </row>
    <row r="7186" spans="1:1">
      <c r="A7186" s="45"/>
    </row>
    <row r="7187" spans="1:1">
      <c r="A7187" s="45"/>
    </row>
    <row r="7188" spans="1:1">
      <c r="A7188" s="45"/>
    </row>
    <row r="7189" spans="1:1">
      <c r="A7189" s="45"/>
    </row>
    <row r="7190" spans="1:1">
      <c r="A7190" s="45"/>
    </row>
    <row r="7191" spans="1:1">
      <c r="A7191" s="45"/>
    </row>
    <row r="7192" spans="1:1">
      <c r="A7192" s="45"/>
    </row>
    <row r="7193" spans="1:1">
      <c r="A7193" s="45"/>
    </row>
    <row r="7194" spans="1:1">
      <c r="A7194" s="45"/>
    </row>
    <row r="7195" spans="1:1">
      <c r="A7195" s="45"/>
    </row>
    <row r="7196" spans="1:1">
      <c r="A7196" s="45"/>
    </row>
    <row r="7197" spans="1:1">
      <c r="A7197" s="45"/>
    </row>
    <row r="7198" spans="1:1">
      <c r="A7198" s="45"/>
    </row>
    <row r="7199" spans="1:1">
      <c r="A7199" s="45"/>
    </row>
    <row r="7200" spans="1:1">
      <c r="A7200" s="45"/>
    </row>
    <row r="7201" spans="1:1">
      <c r="A7201" s="45"/>
    </row>
    <row r="7202" spans="1:1">
      <c r="A7202" s="45"/>
    </row>
    <row r="7203" spans="1:1">
      <c r="A7203" s="45"/>
    </row>
    <row r="7204" spans="1:1">
      <c r="A7204" s="45"/>
    </row>
    <row r="7205" spans="1:1">
      <c r="A7205" s="45"/>
    </row>
    <row r="7206" spans="1:1">
      <c r="A7206" s="45"/>
    </row>
    <row r="7207" spans="1:1">
      <c r="A7207" s="45"/>
    </row>
    <row r="7208" spans="1:1">
      <c r="A7208" s="45"/>
    </row>
    <row r="7209" spans="1:1">
      <c r="A7209" s="45"/>
    </row>
    <row r="7210" spans="1:1">
      <c r="A7210" s="45"/>
    </row>
    <row r="7211" spans="1:1">
      <c r="A7211" s="45"/>
    </row>
    <row r="7212" spans="1:1">
      <c r="A7212" s="45"/>
    </row>
    <row r="7213" spans="1:1">
      <c r="A7213" s="45"/>
    </row>
    <row r="7214" spans="1:1">
      <c r="A7214" s="45"/>
    </row>
    <row r="7215" spans="1:1">
      <c r="A7215" s="45"/>
    </row>
    <row r="7216" spans="1:1">
      <c r="A7216" s="45"/>
    </row>
    <row r="7217" spans="1:1">
      <c r="A7217" s="45"/>
    </row>
    <row r="7218" spans="1:1">
      <c r="A7218" s="45"/>
    </row>
    <row r="7219" spans="1:1">
      <c r="A7219" s="45"/>
    </row>
    <row r="7220" spans="1:1">
      <c r="A7220" s="45"/>
    </row>
    <row r="7221" spans="1:1">
      <c r="A7221" s="45"/>
    </row>
    <row r="7222" spans="1:1">
      <c r="A7222" s="45"/>
    </row>
    <row r="7223" spans="1:1">
      <c r="A7223" s="45"/>
    </row>
    <row r="7224" spans="1:1">
      <c r="A7224" s="45"/>
    </row>
    <row r="7225" spans="1:1">
      <c r="A7225" s="45"/>
    </row>
    <row r="7226" spans="1:1">
      <c r="A7226" s="45"/>
    </row>
    <row r="7227" spans="1:1">
      <c r="A7227" s="45"/>
    </row>
    <row r="7228" spans="1:1">
      <c r="A7228" s="45"/>
    </row>
    <row r="7229" spans="1:1">
      <c r="A7229" s="45"/>
    </row>
    <row r="7230" spans="1:1">
      <c r="A7230" s="45"/>
    </row>
    <row r="7231" spans="1:1">
      <c r="A7231" s="45"/>
    </row>
    <row r="7232" spans="1:1">
      <c r="A7232" s="45"/>
    </row>
    <row r="7233" spans="1:1">
      <c r="A7233" s="45"/>
    </row>
    <row r="7234" spans="1:1">
      <c r="A7234" s="45"/>
    </row>
    <row r="7235" spans="1:1">
      <c r="A7235" s="45"/>
    </row>
    <row r="7236" spans="1:1">
      <c r="A7236" s="45"/>
    </row>
    <row r="7237" spans="1:1">
      <c r="A7237" s="45"/>
    </row>
    <row r="7238" spans="1:1">
      <c r="A7238" s="45"/>
    </row>
    <row r="7239" spans="1:1">
      <c r="A7239" s="45"/>
    </row>
    <row r="7240" spans="1:1">
      <c r="A7240" s="45"/>
    </row>
    <row r="7241" spans="1:1">
      <c r="A7241" s="45"/>
    </row>
    <row r="7242" spans="1:1">
      <c r="A7242" s="45"/>
    </row>
    <row r="7243" spans="1:1">
      <c r="A7243" s="45"/>
    </row>
    <row r="7244" spans="1:1">
      <c r="A7244" s="45"/>
    </row>
    <row r="7245" spans="1:1">
      <c r="A7245" s="45"/>
    </row>
    <row r="7246" spans="1:1">
      <c r="A7246" s="45"/>
    </row>
    <row r="7247" spans="1:1">
      <c r="A7247" s="45"/>
    </row>
    <row r="7248" spans="1:1">
      <c r="A7248" s="45"/>
    </row>
    <row r="7249" spans="1:1">
      <c r="A7249" s="45"/>
    </row>
    <row r="7250" spans="1:1">
      <c r="A7250" s="45"/>
    </row>
    <row r="7251" spans="1:1">
      <c r="A7251" s="45"/>
    </row>
    <row r="7252" spans="1:1">
      <c r="A7252" s="45"/>
    </row>
    <row r="7253" spans="1:1">
      <c r="A7253" s="45"/>
    </row>
    <row r="7254" spans="1:1">
      <c r="A7254" s="45"/>
    </row>
    <row r="7255" spans="1:1">
      <c r="A7255" s="45"/>
    </row>
    <row r="7256" spans="1:1">
      <c r="A7256" s="45"/>
    </row>
    <row r="7257" spans="1:1">
      <c r="A7257" s="45"/>
    </row>
    <row r="7258" spans="1:1">
      <c r="A7258" s="45"/>
    </row>
    <row r="7259" spans="1:1">
      <c r="A7259" s="45"/>
    </row>
    <row r="7260" spans="1:1">
      <c r="A7260" s="45"/>
    </row>
    <row r="7261" spans="1:1">
      <c r="A7261" s="45"/>
    </row>
    <row r="7262" spans="1:1">
      <c r="A7262" s="45"/>
    </row>
    <row r="7263" spans="1:1">
      <c r="A7263" s="45"/>
    </row>
    <row r="7264" spans="1:1">
      <c r="A7264" s="45"/>
    </row>
    <row r="7265" spans="1:1">
      <c r="A7265" s="45"/>
    </row>
    <row r="7266" spans="1:1">
      <c r="A7266" s="45"/>
    </row>
    <row r="7267" spans="1:1">
      <c r="A7267" s="45"/>
    </row>
    <row r="7268" spans="1:1">
      <c r="A7268" s="45"/>
    </row>
    <row r="7269" spans="1:1">
      <c r="A7269" s="45"/>
    </row>
    <row r="7270" spans="1:1">
      <c r="A7270" s="45"/>
    </row>
    <row r="7271" spans="1:1">
      <c r="A7271" s="45"/>
    </row>
    <row r="7272" spans="1:1">
      <c r="A7272" s="45"/>
    </row>
    <row r="7273" spans="1:1">
      <c r="A7273" s="45"/>
    </row>
    <row r="7274" spans="1:1">
      <c r="A7274" s="45"/>
    </row>
    <row r="7275" spans="1:1">
      <c r="A7275" s="45"/>
    </row>
    <row r="7276" spans="1:1">
      <c r="A7276" s="45"/>
    </row>
    <row r="7277" spans="1:1">
      <c r="A7277" s="45"/>
    </row>
    <row r="7278" spans="1:1">
      <c r="A7278" s="45"/>
    </row>
    <row r="7279" spans="1:1">
      <c r="A7279" s="45"/>
    </row>
    <row r="7280" spans="1:1">
      <c r="A7280" s="45"/>
    </row>
    <row r="7281" spans="1:1">
      <c r="A7281" s="45"/>
    </row>
    <row r="7282" spans="1:1">
      <c r="A7282" s="45"/>
    </row>
    <row r="7283" spans="1:1">
      <c r="A7283" s="45"/>
    </row>
    <row r="7284" spans="1:1">
      <c r="A7284" s="45"/>
    </row>
    <row r="7285" spans="1:1">
      <c r="A7285" s="45"/>
    </row>
    <row r="7286" spans="1:1">
      <c r="A7286" s="45"/>
    </row>
    <row r="7287" spans="1:1">
      <c r="A7287" s="45"/>
    </row>
    <row r="7288" spans="1:1">
      <c r="A7288" s="45"/>
    </row>
    <row r="7289" spans="1:1">
      <c r="A7289" s="45"/>
    </row>
    <row r="7290" spans="1:1">
      <c r="A7290" s="45"/>
    </row>
    <row r="7291" spans="1:1">
      <c r="A7291" s="45"/>
    </row>
    <row r="7292" spans="1:1">
      <c r="A7292" s="45"/>
    </row>
    <row r="7293" spans="1:1">
      <c r="A7293" s="45"/>
    </row>
    <row r="7294" spans="1:1">
      <c r="A7294" s="45"/>
    </row>
    <row r="7295" spans="1:1">
      <c r="A7295" s="45"/>
    </row>
    <row r="7296" spans="1:1">
      <c r="A7296" s="45"/>
    </row>
    <row r="7297" spans="1:1">
      <c r="A7297" s="45"/>
    </row>
    <row r="7298" spans="1:1">
      <c r="A7298" s="45"/>
    </row>
    <row r="7299" spans="1:1">
      <c r="A7299" s="45"/>
    </row>
    <row r="7300" spans="1:1">
      <c r="A7300" s="45"/>
    </row>
    <row r="7301" spans="1:1">
      <c r="A7301" s="45"/>
    </row>
    <row r="7302" spans="1:1">
      <c r="A7302" s="45"/>
    </row>
    <row r="7303" spans="1:1">
      <c r="A7303" s="45"/>
    </row>
    <row r="7304" spans="1:1">
      <c r="A7304" s="45"/>
    </row>
    <row r="7305" spans="1:1">
      <c r="A7305" s="45"/>
    </row>
    <row r="7306" spans="1:1">
      <c r="A7306" s="45"/>
    </row>
    <row r="7307" spans="1:1">
      <c r="A7307" s="45"/>
    </row>
    <row r="7308" spans="1:1">
      <c r="A7308" s="45"/>
    </row>
    <row r="7309" spans="1:1">
      <c r="A7309" s="45"/>
    </row>
    <row r="7310" spans="1:1">
      <c r="A7310" s="45"/>
    </row>
    <row r="7311" spans="1:1">
      <c r="A7311" s="45"/>
    </row>
    <row r="7312" spans="1:1">
      <c r="A7312" s="45"/>
    </row>
    <row r="7313" spans="1:1">
      <c r="A7313" s="45"/>
    </row>
    <row r="7314" spans="1:1">
      <c r="A7314" s="45"/>
    </row>
    <row r="7315" spans="1:1">
      <c r="A7315" s="45"/>
    </row>
    <row r="7316" spans="1:1">
      <c r="A7316" s="45"/>
    </row>
    <row r="7317" spans="1:1">
      <c r="A7317" s="45"/>
    </row>
    <row r="7318" spans="1:1">
      <c r="A7318" s="45"/>
    </row>
    <row r="7319" spans="1:1">
      <c r="A7319" s="45"/>
    </row>
    <row r="7320" spans="1:1">
      <c r="A7320" s="45"/>
    </row>
    <row r="7321" spans="1:1">
      <c r="A7321" s="45"/>
    </row>
    <row r="7322" spans="1:1">
      <c r="A7322" s="45"/>
    </row>
    <row r="7323" spans="1:1">
      <c r="A7323" s="45"/>
    </row>
    <row r="7324" spans="1:1">
      <c r="A7324" s="45"/>
    </row>
    <row r="7325" spans="1:1">
      <c r="A7325" s="45"/>
    </row>
    <row r="7326" spans="1:1">
      <c r="A7326" s="45"/>
    </row>
    <row r="7327" spans="1:1">
      <c r="A7327" s="45"/>
    </row>
    <row r="7328" spans="1:1">
      <c r="A7328" s="45"/>
    </row>
    <row r="7329" spans="1:1">
      <c r="A7329" s="45"/>
    </row>
    <row r="7330" spans="1:1">
      <c r="A7330" s="45"/>
    </row>
    <row r="7331" spans="1:1">
      <c r="A7331" s="45"/>
    </row>
    <row r="7332" spans="1:1">
      <c r="A7332" s="45"/>
    </row>
    <row r="7333" spans="1:1">
      <c r="A7333" s="45"/>
    </row>
    <row r="7334" spans="1:1">
      <c r="A7334" s="45"/>
    </row>
    <row r="7335" spans="1:1">
      <c r="A7335" s="45"/>
    </row>
    <row r="7336" spans="1:1">
      <c r="A7336" s="45"/>
    </row>
    <row r="7337" spans="1:1">
      <c r="A7337" s="45"/>
    </row>
    <row r="7338" spans="1:1">
      <c r="A7338" s="45"/>
    </row>
    <row r="7339" spans="1:1">
      <c r="A7339" s="45"/>
    </row>
    <row r="7340" spans="1:1">
      <c r="A7340" s="45"/>
    </row>
    <row r="7341" spans="1:1">
      <c r="A7341" s="45"/>
    </row>
    <row r="7342" spans="1:1">
      <c r="A7342" s="45"/>
    </row>
    <row r="7343" spans="1:1">
      <c r="A7343" s="45"/>
    </row>
    <row r="7344" spans="1:1">
      <c r="A7344" s="45"/>
    </row>
    <row r="7345" spans="1:1">
      <c r="A7345" s="45"/>
    </row>
    <row r="7346" spans="1:1">
      <c r="A7346" s="45"/>
    </row>
    <row r="7347" spans="1:1">
      <c r="A7347" s="45"/>
    </row>
    <row r="7348" spans="1:1">
      <c r="A7348" s="45"/>
    </row>
    <row r="7349" spans="1:1">
      <c r="A7349" s="45"/>
    </row>
    <row r="7350" spans="1:1">
      <c r="A7350" s="45"/>
    </row>
    <row r="7351" spans="1:1">
      <c r="A7351" s="45"/>
    </row>
    <row r="7352" spans="1:1">
      <c r="A7352" s="45"/>
    </row>
    <row r="7353" spans="1:1">
      <c r="A7353" s="45"/>
    </row>
    <row r="7354" spans="1:1">
      <c r="A7354" s="45"/>
    </row>
    <row r="7355" spans="1:1">
      <c r="A7355" s="45"/>
    </row>
    <row r="7356" spans="1:1">
      <c r="A7356" s="45"/>
    </row>
    <row r="7357" spans="1:1">
      <c r="A7357" s="45"/>
    </row>
    <row r="7358" spans="1:1">
      <c r="A7358" s="45"/>
    </row>
    <row r="7359" spans="1:1">
      <c r="A7359" s="45"/>
    </row>
    <row r="7360" spans="1:1">
      <c r="A7360" s="45"/>
    </row>
    <row r="7361" spans="1:1">
      <c r="A7361" s="45"/>
    </row>
    <row r="7362" spans="1:1">
      <c r="A7362" s="45"/>
    </row>
    <row r="7363" spans="1:1">
      <c r="A7363" s="45"/>
    </row>
    <row r="7364" spans="1:1">
      <c r="A7364" s="45"/>
    </row>
    <row r="7365" spans="1:1">
      <c r="A7365" s="45"/>
    </row>
    <row r="7366" spans="1:1">
      <c r="A7366" s="45"/>
    </row>
    <row r="7367" spans="1:1">
      <c r="A7367" s="45"/>
    </row>
    <row r="7368" spans="1:1">
      <c r="A7368" s="45"/>
    </row>
    <row r="7369" spans="1:1">
      <c r="A7369" s="45"/>
    </row>
    <row r="7370" spans="1:1">
      <c r="A7370" s="45"/>
    </row>
    <row r="7371" spans="1:1">
      <c r="A7371" s="45"/>
    </row>
    <row r="7372" spans="1:1">
      <c r="A7372" s="45"/>
    </row>
    <row r="7373" spans="1:1">
      <c r="A7373" s="45"/>
    </row>
    <row r="7374" spans="1:1">
      <c r="A7374" s="45"/>
    </row>
    <row r="7375" spans="1:1">
      <c r="A7375" s="45"/>
    </row>
    <row r="7376" spans="1:1">
      <c r="A7376" s="45"/>
    </row>
    <row r="7377" spans="1:1">
      <c r="A7377" s="45"/>
    </row>
    <row r="7378" spans="1:1">
      <c r="A7378" s="45"/>
    </row>
    <row r="7379" spans="1:1">
      <c r="A7379" s="45"/>
    </row>
    <row r="7380" spans="1:1">
      <c r="A7380" s="45"/>
    </row>
    <row r="7381" spans="1:1">
      <c r="A7381" s="45"/>
    </row>
    <row r="7382" spans="1:1">
      <c r="A7382" s="45"/>
    </row>
    <row r="7383" spans="1:1">
      <c r="A7383" s="45"/>
    </row>
    <row r="7384" spans="1:1">
      <c r="A7384" s="45"/>
    </row>
    <row r="7385" spans="1:1">
      <c r="A7385" s="45"/>
    </row>
    <row r="7386" spans="1:1">
      <c r="A7386" s="45"/>
    </row>
    <row r="7387" spans="1:1">
      <c r="A7387" s="45"/>
    </row>
    <row r="7388" spans="1:1">
      <c r="A7388" s="45"/>
    </row>
    <row r="7389" spans="1:1">
      <c r="A7389" s="45"/>
    </row>
    <row r="7390" spans="1:1">
      <c r="A7390" s="45"/>
    </row>
    <row r="7391" spans="1:1">
      <c r="A7391" s="45"/>
    </row>
    <row r="7392" spans="1:1">
      <c r="A7392" s="45"/>
    </row>
    <row r="7393" spans="1:1">
      <c r="A7393" s="45"/>
    </row>
    <row r="7394" spans="1:1">
      <c r="A7394" s="45"/>
    </row>
    <row r="7395" spans="1:1">
      <c r="A7395" s="45"/>
    </row>
    <row r="7396" spans="1:1">
      <c r="A7396" s="45"/>
    </row>
    <row r="7397" spans="1:1">
      <c r="A7397" s="45"/>
    </row>
    <row r="7398" spans="1:1">
      <c r="A7398" s="45"/>
    </row>
    <row r="7399" spans="1:1">
      <c r="A7399" s="45"/>
    </row>
    <row r="7400" spans="1:1">
      <c r="A7400" s="45"/>
    </row>
    <row r="7401" spans="1:1">
      <c r="A7401" s="45"/>
    </row>
    <row r="7402" spans="1:1">
      <c r="A7402" s="45"/>
    </row>
    <row r="7403" spans="1:1">
      <c r="A7403" s="45"/>
    </row>
    <row r="7404" spans="1:1">
      <c r="A7404" s="45"/>
    </row>
    <row r="7405" spans="1:1">
      <c r="A7405" s="45"/>
    </row>
    <row r="7406" spans="1:1">
      <c r="A7406" s="45"/>
    </row>
    <row r="7407" spans="1:1">
      <c r="A7407" s="45"/>
    </row>
    <row r="7408" spans="1:1">
      <c r="A7408" s="45"/>
    </row>
    <row r="7409" spans="1:1">
      <c r="A7409" s="45"/>
    </row>
    <row r="7410" spans="1:1">
      <c r="A7410" s="45"/>
    </row>
    <row r="7411" spans="1:1">
      <c r="A7411" s="45"/>
    </row>
    <row r="7412" spans="1:1">
      <c r="A7412" s="45"/>
    </row>
    <row r="7413" spans="1:1">
      <c r="A7413" s="45"/>
    </row>
    <row r="7414" spans="1:1">
      <c r="A7414" s="45"/>
    </row>
    <row r="7415" spans="1:1">
      <c r="A7415" s="45"/>
    </row>
    <row r="7416" spans="1:1">
      <c r="A7416" s="45"/>
    </row>
    <row r="7417" spans="1:1">
      <c r="A7417" s="45"/>
    </row>
    <row r="7418" spans="1:1">
      <c r="A7418" s="45"/>
    </row>
    <row r="7419" spans="1:1">
      <c r="A7419" s="45"/>
    </row>
    <row r="7420" spans="1:1">
      <c r="A7420" s="45"/>
    </row>
    <row r="7421" spans="1:1">
      <c r="A7421" s="45"/>
    </row>
    <row r="7422" spans="1:1">
      <c r="A7422" s="45"/>
    </row>
    <row r="7423" spans="1:1">
      <c r="A7423" s="45"/>
    </row>
    <row r="7424" spans="1:1">
      <c r="A7424" s="45"/>
    </row>
    <row r="7425" spans="1:1">
      <c r="A7425" s="45"/>
    </row>
    <row r="7426" spans="1:1">
      <c r="A7426" s="45"/>
    </row>
    <row r="7427" spans="1:1">
      <c r="A7427" s="45"/>
    </row>
    <row r="7428" spans="1:1">
      <c r="A7428" s="45"/>
    </row>
    <row r="7429" spans="1:1">
      <c r="A7429" s="45"/>
    </row>
    <row r="7430" spans="1:1">
      <c r="A7430" s="45"/>
    </row>
    <row r="7431" spans="1:1">
      <c r="A7431" s="45"/>
    </row>
    <row r="7432" spans="1:1">
      <c r="A7432" s="45"/>
    </row>
    <row r="7433" spans="1:1">
      <c r="A7433" s="45"/>
    </row>
    <row r="7434" spans="1:1">
      <c r="A7434" s="45"/>
    </row>
    <row r="7435" spans="1:1">
      <c r="A7435" s="45"/>
    </row>
    <row r="7436" spans="1:1">
      <c r="A7436" s="45"/>
    </row>
    <row r="7437" spans="1:1">
      <c r="A7437" s="45"/>
    </row>
    <row r="7438" spans="1:1">
      <c r="A7438" s="45"/>
    </row>
    <row r="7439" spans="1:1">
      <c r="A7439" s="45"/>
    </row>
    <row r="7440" spans="1:1">
      <c r="A7440" s="45"/>
    </row>
    <row r="7441" spans="1:1">
      <c r="A7441" s="45"/>
    </row>
    <row r="7442" spans="1:1">
      <c r="A7442" s="45"/>
    </row>
    <row r="7443" spans="1:1">
      <c r="A7443" s="45"/>
    </row>
    <row r="7444" spans="1:1">
      <c r="A7444" s="45"/>
    </row>
    <row r="7445" spans="1:1">
      <c r="A7445" s="45"/>
    </row>
    <row r="7446" spans="1:1">
      <c r="A7446" s="45"/>
    </row>
    <row r="7447" spans="1:1">
      <c r="A7447" s="45"/>
    </row>
    <row r="7448" spans="1:1">
      <c r="A7448" s="45"/>
    </row>
    <row r="7449" spans="1:1">
      <c r="A7449" s="45"/>
    </row>
    <row r="7450" spans="1:1">
      <c r="A7450" s="45"/>
    </row>
    <row r="7451" spans="1:1">
      <c r="A7451" s="45"/>
    </row>
    <row r="7452" spans="1:1">
      <c r="A7452" s="45"/>
    </row>
    <row r="7453" spans="1:1">
      <c r="A7453" s="45"/>
    </row>
    <row r="7454" spans="1:1">
      <c r="A7454" s="45"/>
    </row>
    <row r="7455" spans="1:1">
      <c r="A7455" s="45"/>
    </row>
    <row r="7456" spans="1:1">
      <c r="A7456" s="45"/>
    </row>
    <row r="7457" spans="1:1">
      <c r="A7457" s="45"/>
    </row>
    <row r="7458" spans="1:1">
      <c r="A7458" s="45"/>
    </row>
    <row r="7459" spans="1:1">
      <c r="A7459" s="45"/>
    </row>
    <row r="7460" spans="1:1">
      <c r="A7460" s="45"/>
    </row>
    <row r="7461" spans="1:1">
      <c r="A7461" s="45"/>
    </row>
    <row r="7462" spans="1:1">
      <c r="A7462" s="45"/>
    </row>
    <row r="7463" spans="1:1">
      <c r="A7463" s="45"/>
    </row>
    <row r="7464" spans="1:1">
      <c r="A7464" s="45"/>
    </row>
    <row r="7465" spans="1:1">
      <c r="A7465" s="45"/>
    </row>
    <row r="7466" spans="1:1">
      <c r="A7466" s="45"/>
    </row>
    <row r="7467" spans="1:1">
      <c r="A7467" s="45"/>
    </row>
    <row r="7468" spans="1:1">
      <c r="A7468" s="45"/>
    </row>
    <row r="7469" spans="1:1">
      <c r="A7469" s="45"/>
    </row>
    <row r="7470" spans="1:1">
      <c r="A7470" s="45"/>
    </row>
    <row r="7471" spans="1:1">
      <c r="A7471" s="45"/>
    </row>
    <row r="7472" spans="1:1">
      <c r="A7472" s="45"/>
    </row>
    <row r="7473" spans="1:1">
      <c r="A7473" s="45"/>
    </row>
    <row r="7474" spans="1:1">
      <c r="A7474" s="45"/>
    </row>
    <row r="7475" spans="1:1">
      <c r="A7475" s="45"/>
    </row>
    <row r="7476" spans="1:1">
      <c r="A7476" s="45"/>
    </row>
    <row r="7477" spans="1:1">
      <c r="A7477" s="45"/>
    </row>
    <row r="7478" spans="1:1">
      <c r="A7478" s="45"/>
    </row>
    <row r="7479" spans="1:1">
      <c r="A7479" s="45"/>
    </row>
    <row r="7480" spans="1:1">
      <c r="A7480" s="45"/>
    </row>
    <row r="7481" spans="1:1">
      <c r="A7481" s="45"/>
    </row>
    <row r="7482" spans="1:1">
      <c r="A7482" s="45"/>
    </row>
    <row r="7483" spans="1:1">
      <c r="A7483" s="45"/>
    </row>
    <row r="7484" spans="1:1">
      <c r="A7484" s="45"/>
    </row>
    <row r="7485" spans="1:1">
      <c r="A7485" s="45"/>
    </row>
    <row r="7486" spans="1:1">
      <c r="A7486" s="45"/>
    </row>
    <row r="7487" spans="1:1">
      <c r="A7487" s="45"/>
    </row>
    <row r="7488" spans="1:1">
      <c r="A7488" s="45"/>
    </row>
    <row r="7489" spans="1:1">
      <c r="A7489" s="45"/>
    </row>
    <row r="7490" spans="1:1">
      <c r="A7490" s="45"/>
    </row>
    <row r="7491" spans="1:1">
      <c r="A7491" s="45"/>
    </row>
    <row r="7492" spans="1:1">
      <c r="A7492" s="45"/>
    </row>
    <row r="7493" spans="1:1">
      <c r="A7493" s="45"/>
    </row>
    <row r="7494" spans="1:1">
      <c r="A7494" s="45"/>
    </row>
    <row r="7495" spans="1:1">
      <c r="A7495" s="45"/>
    </row>
    <row r="7496" spans="1:1">
      <c r="A7496" s="45"/>
    </row>
    <row r="7497" spans="1:1">
      <c r="A7497" s="45"/>
    </row>
    <row r="7498" spans="1:1">
      <c r="A7498" s="45"/>
    </row>
    <row r="7499" spans="1:1">
      <c r="A7499" s="45"/>
    </row>
    <row r="7500" spans="1:1">
      <c r="A7500" s="45"/>
    </row>
    <row r="7501" spans="1:1">
      <c r="A7501" s="45"/>
    </row>
    <row r="7502" spans="1:1">
      <c r="A7502" s="45"/>
    </row>
    <row r="7503" spans="1:1">
      <c r="A7503" s="45"/>
    </row>
    <row r="7504" spans="1:1">
      <c r="A7504" s="45"/>
    </row>
    <row r="7505" spans="1:1">
      <c r="A7505" s="45"/>
    </row>
    <row r="7506" spans="1:1">
      <c r="A7506" s="45"/>
    </row>
    <row r="7507" spans="1:1">
      <c r="A7507" s="45"/>
    </row>
    <row r="7508" spans="1:1">
      <c r="A7508" s="45"/>
    </row>
    <row r="7509" spans="1:1">
      <c r="A7509" s="45"/>
    </row>
    <row r="7510" spans="1:1">
      <c r="A7510" s="45"/>
    </row>
    <row r="7511" spans="1:1">
      <c r="A7511" s="45"/>
    </row>
    <row r="7512" spans="1:1">
      <c r="A7512" s="45"/>
    </row>
    <row r="7513" spans="1:1">
      <c r="A7513" s="45"/>
    </row>
    <row r="7514" spans="1:1">
      <c r="A7514" s="45"/>
    </row>
    <row r="7515" spans="1:1">
      <c r="A7515" s="45"/>
    </row>
    <row r="7516" spans="1:1">
      <c r="A7516" s="45"/>
    </row>
    <row r="7517" spans="1:1">
      <c r="A7517" s="45"/>
    </row>
    <row r="7518" spans="1:1">
      <c r="A7518" s="45"/>
    </row>
    <row r="7519" spans="1:1">
      <c r="A7519" s="45"/>
    </row>
    <row r="7520" spans="1:1">
      <c r="A7520" s="45"/>
    </row>
    <row r="7521" spans="1:1">
      <c r="A7521" s="45"/>
    </row>
    <row r="7522" spans="1:1">
      <c r="A7522" s="45"/>
    </row>
    <row r="7523" spans="1:1">
      <c r="A7523" s="45"/>
    </row>
    <row r="7524" spans="1:1">
      <c r="A7524" s="45"/>
    </row>
    <row r="7525" spans="1:1">
      <c r="A7525" s="45"/>
    </row>
    <row r="7526" spans="1:1">
      <c r="A7526" s="45"/>
    </row>
    <row r="7527" spans="1:1">
      <c r="A7527" s="45"/>
    </row>
    <row r="7528" spans="1:1">
      <c r="A7528" s="45"/>
    </row>
    <row r="7529" spans="1:1">
      <c r="A7529" s="45"/>
    </row>
    <row r="7530" spans="1:1">
      <c r="A7530" s="45"/>
    </row>
    <row r="7531" spans="1:1">
      <c r="A7531" s="45"/>
    </row>
    <row r="7532" spans="1:1">
      <c r="A7532" s="45"/>
    </row>
    <row r="7533" spans="1:1">
      <c r="A7533" s="45"/>
    </row>
    <row r="7534" spans="1:1">
      <c r="A7534" s="45"/>
    </row>
    <row r="7535" spans="1:1">
      <c r="A7535" s="45"/>
    </row>
    <row r="7536" spans="1:1">
      <c r="A7536" s="45"/>
    </row>
    <row r="7537" spans="1:1">
      <c r="A7537" s="45"/>
    </row>
    <row r="7538" spans="1:1">
      <c r="A7538" s="45"/>
    </row>
    <row r="7539" spans="1:1">
      <c r="A7539" s="45"/>
    </row>
    <row r="7540" spans="1:1">
      <c r="A7540" s="45"/>
    </row>
    <row r="7541" spans="1:1">
      <c r="A7541" s="45"/>
    </row>
    <row r="7542" spans="1:1">
      <c r="A7542" s="45"/>
    </row>
    <row r="7543" spans="1:1">
      <c r="A7543" s="45"/>
    </row>
    <row r="7544" spans="1:1">
      <c r="A7544" s="45"/>
    </row>
    <row r="7545" spans="1:1">
      <c r="A7545" s="45"/>
    </row>
    <row r="7546" spans="1:1">
      <c r="A7546" s="45"/>
    </row>
    <row r="7547" spans="1:1">
      <c r="A7547" s="45"/>
    </row>
    <row r="7548" spans="1:1">
      <c r="A7548" s="45"/>
    </row>
    <row r="7549" spans="1:1">
      <c r="A7549" s="45"/>
    </row>
    <row r="7550" spans="1:1">
      <c r="A7550" s="45"/>
    </row>
    <row r="7551" spans="1:1">
      <c r="A7551" s="45"/>
    </row>
    <row r="7552" spans="1:1">
      <c r="A7552" s="45"/>
    </row>
    <row r="7553" spans="1:1">
      <c r="A7553" s="45"/>
    </row>
    <row r="7554" spans="1:1">
      <c r="A7554" s="45"/>
    </row>
    <row r="7555" spans="1:1">
      <c r="A7555" s="45"/>
    </row>
    <row r="7556" spans="1:1">
      <c r="A7556" s="45"/>
    </row>
    <row r="7557" spans="1:1">
      <c r="A7557" s="45"/>
    </row>
    <row r="7558" spans="1:1">
      <c r="A7558" s="45"/>
    </row>
    <row r="7559" spans="1:1">
      <c r="A7559" s="45"/>
    </row>
    <row r="7560" spans="1:1">
      <c r="A7560" s="45"/>
    </row>
    <row r="7561" spans="1:1">
      <c r="A7561" s="45"/>
    </row>
    <row r="7562" spans="1:1">
      <c r="A7562" s="45"/>
    </row>
    <row r="7563" spans="1:1">
      <c r="A7563" s="45"/>
    </row>
    <row r="7564" spans="1:1">
      <c r="A7564" s="45"/>
    </row>
    <row r="7565" spans="1:1">
      <c r="A7565" s="45"/>
    </row>
    <row r="7566" spans="1:1">
      <c r="A7566" s="45"/>
    </row>
    <row r="7567" spans="1:1">
      <c r="A7567" s="45"/>
    </row>
    <row r="7568" spans="1:1">
      <c r="A7568" s="45"/>
    </row>
    <row r="7569" spans="1:1">
      <c r="A7569" s="45"/>
    </row>
    <row r="7570" spans="1:1">
      <c r="A7570" s="45"/>
    </row>
    <row r="7571" spans="1:1">
      <c r="A7571" s="45"/>
    </row>
    <row r="7572" spans="1:1">
      <c r="A7572" s="45"/>
    </row>
    <row r="7573" spans="1:1">
      <c r="A7573" s="45"/>
    </row>
    <row r="7574" spans="1:1">
      <c r="A7574" s="45"/>
    </row>
    <row r="7575" spans="1:1">
      <c r="A7575" s="45"/>
    </row>
    <row r="7576" spans="1:1">
      <c r="A7576" s="45"/>
    </row>
    <row r="7577" spans="1:1">
      <c r="A7577" s="45"/>
    </row>
    <row r="7578" spans="1:1">
      <c r="A7578" s="45"/>
    </row>
    <row r="7579" spans="1:1">
      <c r="A7579" s="45"/>
    </row>
    <row r="7580" spans="1:1">
      <c r="A7580" s="45"/>
    </row>
    <row r="7581" spans="1:1">
      <c r="A7581" s="45"/>
    </row>
    <row r="7582" spans="1:1">
      <c r="A7582" s="45"/>
    </row>
    <row r="7583" spans="1:1">
      <c r="A7583" s="45"/>
    </row>
    <row r="7584" spans="1:1">
      <c r="A7584" s="45"/>
    </row>
    <row r="7585" spans="1:1">
      <c r="A7585" s="45"/>
    </row>
    <row r="7586" spans="1:1">
      <c r="A7586" s="45"/>
    </row>
    <row r="7587" spans="1:1">
      <c r="A7587" s="45"/>
    </row>
    <row r="7588" spans="1:1">
      <c r="A7588" s="45"/>
    </row>
    <row r="7589" spans="1:1">
      <c r="A7589" s="45"/>
    </row>
    <row r="7590" spans="1:1">
      <c r="A7590" s="45"/>
    </row>
    <row r="7591" spans="1:1">
      <c r="A7591" s="45"/>
    </row>
    <row r="7592" spans="1:1">
      <c r="A7592" s="45"/>
    </row>
    <row r="7593" spans="1:1">
      <c r="A7593" s="45"/>
    </row>
    <row r="7594" spans="1:1">
      <c r="A7594" s="45"/>
    </row>
    <row r="7595" spans="1:1">
      <c r="A7595" s="45"/>
    </row>
    <row r="7596" spans="1:1">
      <c r="A7596" s="45"/>
    </row>
    <row r="7597" spans="1:1">
      <c r="A7597" s="45"/>
    </row>
    <row r="7598" spans="1:1">
      <c r="A7598" s="45"/>
    </row>
    <row r="7599" spans="1:1">
      <c r="A7599" s="45"/>
    </row>
    <row r="7600" spans="1:1">
      <c r="A7600" s="45"/>
    </row>
    <row r="7601" spans="1:1">
      <c r="A7601" s="45"/>
    </row>
    <row r="7602" spans="1:1">
      <c r="A7602" s="45"/>
    </row>
    <row r="7603" spans="1:1">
      <c r="A7603" s="45"/>
    </row>
    <row r="7604" spans="1:1">
      <c r="A7604" s="45"/>
    </row>
    <row r="7605" spans="1:1">
      <c r="A7605" s="45"/>
    </row>
    <row r="7606" spans="1:1">
      <c r="A7606" s="45"/>
    </row>
    <row r="7607" spans="1:1">
      <c r="A7607" s="45"/>
    </row>
    <row r="7608" spans="1:1">
      <c r="A7608" s="45"/>
    </row>
    <row r="7609" spans="1:1">
      <c r="A7609" s="45"/>
    </row>
    <row r="7610" spans="1:1">
      <c r="A7610" s="45"/>
    </row>
    <row r="7611" spans="1:1">
      <c r="A7611" s="45"/>
    </row>
    <row r="7612" spans="1:1">
      <c r="A7612" s="45"/>
    </row>
    <row r="7613" spans="1:1">
      <c r="A7613" s="45"/>
    </row>
    <row r="7614" spans="1:1">
      <c r="A7614" s="45"/>
    </row>
    <row r="7615" spans="1:1">
      <c r="A7615" s="45"/>
    </row>
    <row r="7616" spans="1:1">
      <c r="A7616" s="45"/>
    </row>
    <row r="7617" spans="1:1">
      <c r="A7617" s="45"/>
    </row>
    <row r="7618" spans="1:1">
      <c r="A7618" s="45"/>
    </row>
    <row r="7619" spans="1:1">
      <c r="A7619" s="45"/>
    </row>
    <row r="7620" spans="1:1">
      <c r="A7620" s="45"/>
    </row>
    <row r="7621" spans="1:1">
      <c r="A7621" s="45"/>
    </row>
    <row r="7622" spans="1:1">
      <c r="A7622" s="45"/>
    </row>
    <row r="7623" spans="1:1">
      <c r="A7623" s="45"/>
    </row>
    <row r="7624" spans="1:1">
      <c r="A7624" s="45"/>
    </row>
    <row r="7625" spans="1:1">
      <c r="A7625" s="45"/>
    </row>
    <row r="7626" spans="1:1">
      <c r="A7626" s="45"/>
    </row>
    <row r="7627" spans="1:1">
      <c r="A7627" s="45"/>
    </row>
    <row r="7628" spans="1:1">
      <c r="A7628" s="45"/>
    </row>
    <row r="7629" spans="1:1">
      <c r="A7629" s="45"/>
    </row>
    <row r="7630" spans="1:1">
      <c r="A7630" s="45"/>
    </row>
    <row r="7631" spans="1:1">
      <c r="A7631" s="45"/>
    </row>
    <row r="7632" spans="1:1">
      <c r="A7632" s="45"/>
    </row>
    <row r="7633" spans="1:1">
      <c r="A7633" s="45"/>
    </row>
    <row r="7634" spans="1:1">
      <c r="A7634" s="45"/>
    </row>
    <row r="7635" spans="1:1">
      <c r="A7635" s="45"/>
    </row>
    <row r="7636" spans="1:1">
      <c r="A7636" s="45"/>
    </row>
    <row r="7637" spans="1:1">
      <c r="A7637" s="45"/>
    </row>
    <row r="7638" spans="1:1">
      <c r="A7638" s="45"/>
    </row>
    <row r="7639" spans="1:1">
      <c r="A7639" s="45"/>
    </row>
    <row r="7640" spans="1:1">
      <c r="A7640" s="45"/>
    </row>
    <row r="7641" spans="1:1">
      <c r="A7641" s="45"/>
    </row>
    <row r="7642" spans="1:1">
      <c r="A7642" s="45"/>
    </row>
    <row r="7643" spans="1:1">
      <c r="A7643" s="45"/>
    </row>
    <row r="7644" spans="1:1">
      <c r="A7644" s="45"/>
    </row>
    <row r="7645" spans="1:1">
      <c r="A7645" s="45"/>
    </row>
    <row r="7646" spans="1:1">
      <c r="A7646" s="45"/>
    </row>
    <row r="7647" spans="1:1">
      <c r="A7647" s="45"/>
    </row>
    <row r="7648" spans="1:1">
      <c r="A7648" s="45"/>
    </row>
    <row r="7649" spans="1:1">
      <c r="A7649" s="45"/>
    </row>
    <row r="7650" spans="1:1">
      <c r="A7650" s="45"/>
    </row>
    <row r="7651" spans="1:1">
      <c r="A7651" s="45"/>
    </row>
    <row r="7652" spans="1:1">
      <c r="A7652" s="45"/>
    </row>
    <row r="7653" spans="1:1">
      <c r="A7653" s="45"/>
    </row>
    <row r="7654" spans="1:1">
      <c r="A7654" s="45"/>
    </row>
    <row r="7655" spans="1:1">
      <c r="A7655" s="45"/>
    </row>
    <row r="7656" spans="1:1">
      <c r="A7656" s="45"/>
    </row>
    <row r="7657" spans="1:1">
      <c r="A7657" s="45"/>
    </row>
    <row r="7658" spans="1:1">
      <c r="A7658" s="45"/>
    </row>
    <row r="7659" spans="1:1">
      <c r="A7659" s="45"/>
    </row>
    <row r="7660" spans="1:1">
      <c r="A7660" s="45"/>
    </row>
    <row r="7661" spans="1:1">
      <c r="A7661" s="45"/>
    </row>
    <row r="7662" spans="1:1">
      <c r="A7662" s="45"/>
    </row>
    <row r="7663" spans="1:1">
      <c r="A7663" s="45"/>
    </row>
    <row r="7664" spans="1:1">
      <c r="A7664" s="45"/>
    </row>
    <row r="7665" spans="1:1">
      <c r="A7665" s="45"/>
    </row>
    <row r="7666" spans="1:1">
      <c r="A7666" s="45"/>
    </row>
    <row r="7667" spans="1:1">
      <c r="A7667" s="45"/>
    </row>
    <row r="7668" spans="1:1">
      <c r="A7668" s="45"/>
    </row>
    <row r="7669" spans="1:1">
      <c r="A7669" s="45"/>
    </row>
    <row r="7670" spans="1:1">
      <c r="A7670" s="45"/>
    </row>
    <row r="7671" spans="1:1">
      <c r="A7671" s="45"/>
    </row>
    <row r="7672" spans="1:1">
      <c r="A7672" s="45"/>
    </row>
    <row r="7673" spans="1:1">
      <c r="A7673" s="45"/>
    </row>
    <row r="7674" spans="1:1">
      <c r="A7674" s="45"/>
    </row>
    <row r="7675" spans="1:1">
      <c r="A7675" s="45"/>
    </row>
    <row r="7676" spans="1:1">
      <c r="A7676" s="45"/>
    </row>
    <row r="7677" spans="1:1">
      <c r="A7677" s="45"/>
    </row>
    <row r="7678" spans="1:1">
      <c r="A7678" s="45"/>
    </row>
    <row r="7679" spans="1:1">
      <c r="A7679" s="45"/>
    </row>
    <row r="7680" spans="1:1">
      <c r="A7680" s="45"/>
    </row>
    <row r="7681" spans="1:1">
      <c r="A7681" s="45"/>
    </row>
    <row r="7682" spans="1:1">
      <c r="A7682" s="45"/>
    </row>
    <row r="7683" spans="1:1">
      <c r="A7683" s="45"/>
    </row>
    <row r="7684" spans="1:1">
      <c r="A7684" s="45"/>
    </row>
    <row r="7685" spans="1:1">
      <c r="A7685" s="45"/>
    </row>
    <row r="7686" spans="1:1">
      <c r="A7686" s="45"/>
    </row>
    <row r="7687" spans="1:1">
      <c r="A7687" s="45"/>
    </row>
    <row r="7688" spans="1:1">
      <c r="A7688" s="45"/>
    </row>
    <row r="7689" spans="1:1">
      <c r="A7689" s="45"/>
    </row>
    <row r="7690" spans="1:1">
      <c r="A7690" s="45"/>
    </row>
    <row r="7691" spans="1:1">
      <c r="A7691" s="45"/>
    </row>
    <row r="7692" spans="1:1">
      <c r="A7692" s="45"/>
    </row>
    <row r="7693" spans="1:1">
      <c r="A7693" s="45"/>
    </row>
    <row r="7694" spans="1:1">
      <c r="A7694" s="45"/>
    </row>
    <row r="7695" spans="1:1">
      <c r="A7695" s="45"/>
    </row>
    <row r="7696" spans="1:1">
      <c r="A7696" s="45"/>
    </row>
    <row r="7697" spans="1:1">
      <c r="A7697" s="45"/>
    </row>
    <row r="7698" spans="1:1">
      <c r="A7698" s="45"/>
    </row>
    <row r="7699" spans="1:1">
      <c r="A7699" s="45"/>
    </row>
    <row r="7700" spans="1:1">
      <c r="A7700" s="45"/>
    </row>
    <row r="7701" spans="1:1">
      <c r="A7701" s="45"/>
    </row>
    <row r="7702" spans="1:1">
      <c r="A7702" s="45"/>
    </row>
    <row r="7703" spans="1:1">
      <c r="A7703" s="45"/>
    </row>
    <row r="7704" spans="1:1">
      <c r="A7704" s="45"/>
    </row>
    <row r="7705" spans="1:1">
      <c r="A7705" s="45"/>
    </row>
    <row r="7706" spans="1:1">
      <c r="A7706" s="45"/>
    </row>
    <row r="7707" spans="1:1">
      <c r="A7707" s="45"/>
    </row>
    <row r="7708" spans="1:1">
      <c r="A7708" s="45"/>
    </row>
    <row r="7709" spans="1:1">
      <c r="A7709" s="45"/>
    </row>
    <row r="7710" spans="1:1">
      <c r="A7710" s="45"/>
    </row>
    <row r="7711" spans="1:1">
      <c r="A7711" s="45"/>
    </row>
    <row r="7712" spans="1:1">
      <c r="A7712" s="45"/>
    </row>
    <row r="7713" spans="1:1">
      <c r="A7713" s="45"/>
    </row>
    <row r="7714" spans="1:1">
      <c r="A7714" s="45"/>
    </row>
    <row r="7715" spans="1:1">
      <c r="A7715" s="45"/>
    </row>
    <row r="7716" spans="1:1">
      <c r="A7716" s="45"/>
    </row>
    <row r="7717" spans="1:1">
      <c r="A7717" s="45"/>
    </row>
    <row r="7718" spans="1:1">
      <c r="A7718" s="45"/>
    </row>
    <row r="7719" spans="1:1">
      <c r="A7719" s="45"/>
    </row>
    <row r="7720" spans="1:1">
      <c r="A7720" s="45"/>
    </row>
    <row r="7721" spans="1:1">
      <c r="A7721" s="45"/>
    </row>
    <row r="7722" spans="1:1">
      <c r="A7722" s="45"/>
    </row>
    <row r="7723" spans="1:1">
      <c r="A7723" s="45"/>
    </row>
    <row r="7724" spans="1:1">
      <c r="A7724" s="45"/>
    </row>
    <row r="7725" spans="1:1">
      <c r="A7725" s="45"/>
    </row>
    <row r="7726" spans="1:1">
      <c r="A7726" s="45"/>
    </row>
    <row r="7727" spans="1:1">
      <c r="A7727" s="45"/>
    </row>
    <row r="7728" spans="1:1">
      <c r="A7728" s="45"/>
    </row>
    <row r="7729" spans="1:1">
      <c r="A7729" s="45"/>
    </row>
    <row r="7730" spans="1:1">
      <c r="A7730" s="45"/>
    </row>
    <row r="7731" spans="1:1">
      <c r="A7731" s="45"/>
    </row>
    <row r="7732" spans="1:1">
      <c r="A7732" s="45"/>
    </row>
    <row r="7733" spans="1:1">
      <c r="A7733" s="45"/>
    </row>
    <row r="7734" spans="1:1">
      <c r="A7734" s="45"/>
    </row>
    <row r="7735" spans="1:1">
      <c r="A7735" s="45"/>
    </row>
    <row r="7736" spans="1:1">
      <c r="A7736" s="45"/>
    </row>
    <row r="7737" spans="1:1">
      <c r="A7737" s="45"/>
    </row>
    <row r="7738" spans="1:1">
      <c r="A7738" s="45"/>
    </row>
    <row r="7739" spans="1:1">
      <c r="A7739" s="45"/>
    </row>
    <row r="7740" spans="1:1">
      <c r="A7740" s="45"/>
    </row>
    <row r="7741" spans="1:1">
      <c r="A7741" s="45"/>
    </row>
    <row r="7742" spans="1:1">
      <c r="A7742" s="45"/>
    </row>
    <row r="7743" spans="1:1">
      <c r="A7743" s="45"/>
    </row>
    <row r="7744" spans="1:1">
      <c r="A7744" s="45"/>
    </row>
    <row r="7745" spans="1:1">
      <c r="A7745" s="45"/>
    </row>
    <row r="7746" spans="1:1">
      <c r="A7746" s="45"/>
    </row>
    <row r="7747" spans="1:1">
      <c r="A7747" s="45"/>
    </row>
    <row r="7748" spans="1:1">
      <c r="A7748" s="45"/>
    </row>
    <row r="7749" spans="1:1">
      <c r="A7749" s="45"/>
    </row>
    <row r="7750" spans="1:1">
      <c r="A7750" s="45"/>
    </row>
    <row r="7751" spans="1:1">
      <c r="A7751" s="45"/>
    </row>
    <row r="7752" spans="1:1">
      <c r="A7752" s="45"/>
    </row>
    <row r="7753" spans="1:1">
      <c r="A7753" s="45"/>
    </row>
    <row r="7754" spans="1:1">
      <c r="A7754" s="45"/>
    </row>
    <row r="7755" spans="1:1">
      <c r="A7755" s="45"/>
    </row>
    <row r="7756" spans="1:1">
      <c r="A7756" s="45"/>
    </row>
    <row r="7757" spans="1:1">
      <c r="A7757" s="45"/>
    </row>
    <row r="7758" spans="1:1">
      <c r="A7758" s="45"/>
    </row>
    <row r="7759" spans="1:1">
      <c r="A7759" s="45"/>
    </row>
    <row r="7760" spans="1:1">
      <c r="A7760" s="45"/>
    </row>
    <row r="7761" spans="1:1">
      <c r="A7761" s="45"/>
    </row>
    <row r="7762" spans="1:1">
      <c r="A7762" s="45"/>
    </row>
    <row r="7763" spans="1:1">
      <c r="A7763" s="45"/>
    </row>
    <row r="7764" spans="1:1">
      <c r="A7764" s="45"/>
    </row>
    <row r="7765" spans="1:1">
      <c r="A7765" s="45"/>
    </row>
    <row r="7766" spans="1:1">
      <c r="A7766" s="45"/>
    </row>
    <row r="7767" spans="1:1">
      <c r="A7767" s="45"/>
    </row>
    <row r="7768" spans="1:1">
      <c r="A7768" s="45"/>
    </row>
    <row r="7769" spans="1:1">
      <c r="A7769" s="45"/>
    </row>
    <row r="7770" spans="1:1">
      <c r="A7770" s="45"/>
    </row>
    <row r="7771" spans="1:1">
      <c r="A7771" s="45"/>
    </row>
    <row r="7772" spans="1:1">
      <c r="A7772" s="45"/>
    </row>
    <row r="7773" spans="1:1">
      <c r="A7773" s="45"/>
    </row>
    <row r="7774" spans="1:1">
      <c r="A7774" s="45"/>
    </row>
    <row r="7775" spans="1:1">
      <c r="A7775" s="45"/>
    </row>
    <row r="7776" spans="1:1">
      <c r="A7776" s="45"/>
    </row>
    <row r="7777" spans="1:1">
      <c r="A7777" s="45"/>
    </row>
    <row r="7778" spans="1:1">
      <c r="A7778" s="45"/>
    </row>
    <row r="7779" spans="1:1">
      <c r="A7779" s="45"/>
    </row>
    <row r="7780" spans="1:1">
      <c r="A7780" s="45"/>
    </row>
    <row r="7781" spans="1:1">
      <c r="A7781" s="45"/>
    </row>
    <row r="7782" spans="1:1">
      <c r="A7782" s="45"/>
    </row>
    <row r="7783" spans="1:1">
      <c r="A7783" s="45"/>
    </row>
    <row r="7784" spans="1:1">
      <c r="A7784" s="45"/>
    </row>
    <row r="7785" spans="1:1">
      <c r="A7785" s="45"/>
    </row>
    <row r="7786" spans="1:1">
      <c r="A7786" s="45"/>
    </row>
    <row r="7787" spans="1:1">
      <c r="A7787" s="45"/>
    </row>
    <row r="7788" spans="1:1">
      <c r="A7788" s="45"/>
    </row>
    <row r="7789" spans="1:1">
      <c r="A7789" s="45"/>
    </row>
    <row r="7790" spans="1:1">
      <c r="A7790" s="45"/>
    </row>
    <row r="7791" spans="1:1">
      <c r="A7791" s="45"/>
    </row>
    <row r="7792" spans="1:1">
      <c r="A7792" s="45"/>
    </row>
    <row r="7793" spans="1:1">
      <c r="A7793" s="45"/>
    </row>
    <row r="7794" spans="1:1">
      <c r="A7794" s="45"/>
    </row>
    <row r="7795" spans="1:1">
      <c r="A7795" s="45"/>
    </row>
    <row r="7796" spans="1:1">
      <c r="A7796" s="45"/>
    </row>
    <row r="7797" spans="1:1">
      <c r="A7797" s="45"/>
    </row>
    <row r="7798" spans="1:1">
      <c r="A7798" s="45"/>
    </row>
    <row r="7799" spans="1:1">
      <c r="A7799" s="45"/>
    </row>
    <row r="7800" spans="1:1">
      <c r="A7800" s="45"/>
    </row>
    <row r="7801" spans="1:1">
      <c r="A7801" s="45"/>
    </row>
    <row r="7802" spans="1:1">
      <c r="A7802" s="45"/>
    </row>
    <row r="7803" spans="1:1">
      <c r="A7803" s="45"/>
    </row>
    <row r="7804" spans="1:1">
      <c r="A7804" s="45"/>
    </row>
    <row r="7805" spans="1:1">
      <c r="A7805" s="45"/>
    </row>
    <row r="7806" spans="1:1">
      <c r="A7806" s="45"/>
    </row>
    <row r="7807" spans="1:1">
      <c r="A7807" s="45"/>
    </row>
    <row r="7808" spans="1:1">
      <c r="A7808" s="45"/>
    </row>
    <row r="7809" spans="1:1">
      <c r="A7809" s="45"/>
    </row>
    <row r="7810" spans="1:1">
      <c r="A7810" s="45"/>
    </row>
    <row r="7811" spans="1:1">
      <c r="A7811" s="45"/>
    </row>
    <row r="7812" spans="1:1">
      <c r="A7812" s="45"/>
    </row>
    <row r="7813" spans="1:1">
      <c r="A7813" s="45"/>
    </row>
    <row r="7814" spans="1:1">
      <c r="A7814" s="45"/>
    </row>
    <row r="7815" spans="1:1">
      <c r="A7815" s="45"/>
    </row>
    <row r="7816" spans="1:1">
      <c r="A7816" s="45"/>
    </row>
    <row r="7817" spans="1:1">
      <c r="A7817" s="45"/>
    </row>
    <row r="7818" spans="1:1">
      <c r="A7818" s="45"/>
    </row>
    <row r="7819" spans="1:1">
      <c r="A7819" s="45"/>
    </row>
    <row r="7820" spans="1:1">
      <c r="A7820" s="45"/>
    </row>
    <row r="7821" spans="1:1">
      <c r="A7821" s="45"/>
    </row>
    <row r="7822" spans="1:1">
      <c r="A7822" s="45"/>
    </row>
    <row r="7823" spans="1:1">
      <c r="A7823" s="45"/>
    </row>
    <row r="7824" spans="1:1">
      <c r="A7824" s="45"/>
    </row>
    <row r="7825" spans="1:1">
      <c r="A7825" s="45"/>
    </row>
    <row r="7826" spans="1:1">
      <c r="A7826" s="45"/>
    </row>
    <row r="7827" spans="1:1">
      <c r="A7827" s="45"/>
    </row>
    <row r="7828" spans="1:1">
      <c r="A7828" s="45"/>
    </row>
    <row r="7829" spans="1:1">
      <c r="A7829" s="45"/>
    </row>
    <row r="7830" spans="1:1">
      <c r="A7830" s="45"/>
    </row>
    <row r="7831" spans="1:1">
      <c r="A7831" s="45"/>
    </row>
    <row r="7832" spans="1:1">
      <c r="A7832" s="45"/>
    </row>
    <row r="7833" spans="1:1">
      <c r="A7833" s="45"/>
    </row>
    <row r="7834" spans="1:1">
      <c r="A7834" s="45"/>
    </row>
    <row r="7835" spans="1:1">
      <c r="A7835" s="45"/>
    </row>
    <row r="7836" spans="1:1">
      <c r="A7836" s="45"/>
    </row>
    <row r="7837" spans="1:1">
      <c r="A7837" s="45"/>
    </row>
    <row r="7838" spans="1:1">
      <c r="A7838" s="45"/>
    </row>
    <row r="7839" spans="1:1">
      <c r="A7839" s="45"/>
    </row>
    <row r="7840" spans="1:1">
      <c r="A7840" s="45"/>
    </row>
    <row r="7841" spans="1:1">
      <c r="A7841" s="45"/>
    </row>
    <row r="7842" spans="1:1">
      <c r="A7842" s="45"/>
    </row>
    <row r="7843" spans="1:1">
      <c r="A7843" s="45"/>
    </row>
    <row r="7844" spans="1:1">
      <c r="A7844" s="45"/>
    </row>
    <row r="7845" spans="1:1">
      <c r="A7845" s="45"/>
    </row>
    <row r="7846" spans="1:1">
      <c r="A7846" s="45"/>
    </row>
    <row r="7847" spans="1:1">
      <c r="A7847" s="45"/>
    </row>
    <row r="7848" spans="1:1">
      <c r="A7848" s="45"/>
    </row>
    <row r="7849" spans="1:1">
      <c r="A7849" s="45"/>
    </row>
    <row r="7850" spans="1:1">
      <c r="A7850" s="45"/>
    </row>
    <row r="7851" spans="1:1">
      <c r="A7851" s="45"/>
    </row>
    <row r="7852" spans="1:1">
      <c r="A7852" s="45"/>
    </row>
    <row r="7853" spans="1:1">
      <c r="A7853" s="45"/>
    </row>
    <row r="7854" spans="1:1">
      <c r="A7854" s="45"/>
    </row>
    <row r="7855" spans="1:1">
      <c r="A7855" s="45"/>
    </row>
    <row r="7856" spans="1:1">
      <c r="A7856" s="45"/>
    </row>
    <row r="7857" spans="1:1">
      <c r="A7857" s="45"/>
    </row>
    <row r="7858" spans="1:1">
      <c r="A7858" s="45"/>
    </row>
    <row r="7859" spans="1:1">
      <c r="A7859" s="45"/>
    </row>
    <row r="7860" spans="1:1">
      <c r="A7860" s="45"/>
    </row>
    <row r="7861" spans="1:1">
      <c r="A7861" s="45"/>
    </row>
    <row r="7862" spans="1:1">
      <c r="A7862" s="45"/>
    </row>
    <row r="7863" spans="1:1">
      <c r="A7863" s="45"/>
    </row>
    <row r="7864" spans="1:1">
      <c r="A7864" s="45"/>
    </row>
    <row r="7865" spans="1:1">
      <c r="A7865" s="45"/>
    </row>
    <row r="7866" spans="1:1">
      <c r="A7866" s="45"/>
    </row>
    <row r="7867" spans="1:1">
      <c r="A7867" s="45"/>
    </row>
    <row r="7868" spans="1:1">
      <c r="A7868" s="45"/>
    </row>
    <row r="7869" spans="1:1">
      <c r="A7869" s="45"/>
    </row>
    <row r="7870" spans="1:1">
      <c r="A7870" s="45"/>
    </row>
    <row r="7871" spans="1:1">
      <c r="A7871" s="45"/>
    </row>
    <row r="7872" spans="1:1">
      <c r="A7872" s="45"/>
    </row>
    <row r="7873" spans="1:1">
      <c r="A7873" s="45"/>
    </row>
    <row r="7874" spans="1:1">
      <c r="A7874" s="45"/>
    </row>
    <row r="7875" spans="1:1">
      <c r="A7875" s="45"/>
    </row>
    <row r="7876" spans="1:1">
      <c r="A7876" s="45"/>
    </row>
    <row r="7877" spans="1:1">
      <c r="A7877" s="45"/>
    </row>
    <row r="7878" spans="1:1">
      <c r="A7878" s="45"/>
    </row>
    <row r="7879" spans="1:1">
      <c r="A7879" s="45"/>
    </row>
    <row r="7880" spans="1:1">
      <c r="A7880" s="45"/>
    </row>
    <row r="7881" spans="1:1">
      <c r="A7881" s="45"/>
    </row>
    <row r="7882" spans="1:1">
      <c r="A7882" s="45"/>
    </row>
    <row r="7883" spans="1:1">
      <c r="A7883" s="45"/>
    </row>
    <row r="7884" spans="1:1">
      <c r="A7884" s="45"/>
    </row>
    <row r="7885" spans="1:1">
      <c r="A7885" s="45"/>
    </row>
    <row r="7886" spans="1:1">
      <c r="A7886" s="45"/>
    </row>
    <row r="7887" spans="1:1">
      <c r="A7887" s="45"/>
    </row>
    <row r="7888" spans="1:1">
      <c r="A7888" s="45"/>
    </row>
    <row r="7889" spans="1:1">
      <c r="A7889" s="45"/>
    </row>
    <row r="7890" spans="1:1">
      <c r="A7890" s="45"/>
    </row>
    <row r="7891" spans="1:1">
      <c r="A7891" s="45"/>
    </row>
    <row r="7892" spans="1:1">
      <c r="A7892" s="45"/>
    </row>
    <row r="7893" spans="1:1">
      <c r="A7893" s="45"/>
    </row>
    <row r="7894" spans="1:1">
      <c r="A7894" s="45"/>
    </row>
    <row r="7895" spans="1:1">
      <c r="A7895" s="45"/>
    </row>
    <row r="7896" spans="1:1">
      <c r="A7896" s="45"/>
    </row>
    <row r="7897" spans="1:1">
      <c r="A7897" s="45"/>
    </row>
    <row r="7898" spans="1:1">
      <c r="A7898" s="45"/>
    </row>
    <row r="7899" spans="1:1">
      <c r="A7899" s="45"/>
    </row>
    <row r="7900" spans="1:1">
      <c r="A7900" s="45"/>
    </row>
    <row r="7901" spans="1:1">
      <c r="A7901" s="45"/>
    </row>
    <row r="7902" spans="1:1">
      <c r="A7902" s="45"/>
    </row>
    <row r="7903" spans="1:1">
      <c r="A7903" s="45"/>
    </row>
    <row r="7904" spans="1:1">
      <c r="A7904" s="45"/>
    </row>
    <row r="7905" spans="1:1">
      <c r="A7905" s="45"/>
    </row>
    <row r="7906" spans="1:1">
      <c r="A7906" s="45"/>
    </row>
    <row r="7907" spans="1:1">
      <c r="A7907" s="45"/>
    </row>
    <row r="7908" spans="1:1">
      <c r="A7908" s="45"/>
    </row>
    <row r="7909" spans="1:1">
      <c r="A7909" s="45"/>
    </row>
    <row r="7910" spans="1:1">
      <c r="A7910" s="45"/>
    </row>
    <row r="7911" spans="1:1">
      <c r="A7911" s="45"/>
    </row>
    <row r="7912" spans="1:1">
      <c r="A7912" s="45"/>
    </row>
    <row r="7913" spans="1:1">
      <c r="A7913" s="45"/>
    </row>
    <row r="7914" spans="1:1">
      <c r="A7914" s="45"/>
    </row>
    <row r="7915" spans="1:1">
      <c r="A7915" s="45"/>
    </row>
    <row r="7916" spans="1:1">
      <c r="A7916" s="45"/>
    </row>
    <row r="7917" spans="1:1">
      <c r="A7917" s="45"/>
    </row>
    <row r="7918" spans="1:1">
      <c r="A7918" s="45"/>
    </row>
    <row r="7919" spans="1:1">
      <c r="A7919" s="45"/>
    </row>
    <row r="7920" spans="1:1">
      <c r="A7920" s="45"/>
    </row>
    <row r="7921" spans="1:1">
      <c r="A7921" s="45"/>
    </row>
    <row r="7922" spans="1:1">
      <c r="A7922" s="45"/>
    </row>
    <row r="7923" spans="1:1">
      <c r="A7923" s="45"/>
    </row>
    <row r="7924" spans="1:1">
      <c r="A7924" s="45"/>
    </row>
    <row r="7925" spans="1:1">
      <c r="A7925" s="45"/>
    </row>
    <row r="7926" spans="1:1">
      <c r="A7926" s="45"/>
    </row>
    <row r="7927" spans="1:1">
      <c r="A7927" s="45"/>
    </row>
    <row r="7928" spans="1:1">
      <c r="A7928" s="45"/>
    </row>
    <row r="7929" spans="1:1">
      <c r="A7929" s="45"/>
    </row>
    <row r="7930" spans="1:1">
      <c r="A7930" s="45"/>
    </row>
    <row r="7931" spans="1:1">
      <c r="A7931" s="45"/>
    </row>
    <row r="7932" spans="1:1">
      <c r="A7932" s="45"/>
    </row>
    <row r="7933" spans="1:1">
      <c r="A7933" s="45"/>
    </row>
    <row r="7934" spans="1:1">
      <c r="A7934" s="45"/>
    </row>
    <row r="7935" spans="1:1">
      <c r="A7935" s="45"/>
    </row>
    <row r="7936" spans="1:1">
      <c r="A7936" s="45"/>
    </row>
    <row r="7937" spans="1:1">
      <c r="A7937" s="45"/>
    </row>
    <row r="7938" spans="1:1">
      <c r="A7938" s="45"/>
    </row>
    <row r="7939" spans="1:1">
      <c r="A7939" s="45"/>
    </row>
    <row r="7940" spans="1:1">
      <c r="A7940" s="45"/>
    </row>
    <row r="7941" spans="1:1">
      <c r="A7941" s="45"/>
    </row>
    <row r="7942" spans="1:1">
      <c r="A7942" s="45"/>
    </row>
    <row r="7943" spans="1:1">
      <c r="A7943" s="45"/>
    </row>
    <row r="7944" spans="1:1">
      <c r="A7944" s="45"/>
    </row>
    <row r="7945" spans="1:1">
      <c r="A7945" s="45"/>
    </row>
    <row r="7946" spans="1:1">
      <c r="A7946" s="45"/>
    </row>
    <row r="7947" spans="1:1">
      <c r="A7947" s="45"/>
    </row>
    <row r="7948" spans="1:1">
      <c r="A7948" s="45"/>
    </row>
    <row r="7949" spans="1:1">
      <c r="A7949" s="45"/>
    </row>
    <row r="7950" spans="1:1">
      <c r="A7950" s="45"/>
    </row>
    <row r="7951" spans="1:1">
      <c r="A7951" s="45"/>
    </row>
    <row r="7952" spans="1:1">
      <c r="A7952" s="45"/>
    </row>
    <row r="7953" spans="1:1">
      <c r="A7953" s="45"/>
    </row>
    <row r="7954" spans="1:1">
      <c r="A7954" s="45"/>
    </row>
    <row r="7955" spans="1:1">
      <c r="A7955" s="45"/>
    </row>
    <row r="7956" spans="1:1">
      <c r="A7956" s="45"/>
    </row>
    <row r="7957" spans="1:1">
      <c r="A7957" s="45"/>
    </row>
    <row r="7958" spans="1:1">
      <c r="A7958" s="45"/>
    </row>
    <row r="7959" spans="1:1">
      <c r="A7959" s="45"/>
    </row>
    <row r="7960" spans="1:1">
      <c r="A7960" s="45"/>
    </row>
    <row r="7961" spans="1:1">
      <c r="A7961" s="45"/>
    </row>
    <row r="7962" spans="1:1">
      <c r="A7962" s="45"/>
    </row>
    <row r="7963" spans="1:1">
      <c r="A7963" s="45"/>
    </row>
    <row r="7964" spans="1:1">
      <c r="A7964" s="45"/>
    </row>
    <row r="7965" spans="1:1">
      <c r="A7965" s="45"/>
    </row>
    <row r="7966" spans="1:1">
      <c r="A7966" s="45"/>
    </row>
    <row r="7967" spans="1:1">
      <c r="A7967" s="45"/>
    </row>
    <row r="7968" spans="1:1">
      <c r="A7968" s="45"/>
    </row>
    <row r="7969" spans="1:1">
      <c r="A7969" s="45"/>
    </row>
    <row r="7970" spans="1:1">
      <c r="A7970" s="45"/>
    </row>
    <row r="7971" spans="1:1">
      <c r="A7971" s="45"/>
    </row>
    <row r="7972" spans="1:1">
      <c r="A7972" s="45"/>
    </row>
    <row r="7973" spans="1:1">
      <c r="A7973" s="45"/>
    </row>
    <row r="7974" spans="1:1">
      <c r="A7974" s="45"/>
    </row>
    <row r="7975" spans="1:1">
      <c r="A7975" s="45"/>
    </row>
    <row r="7976" spans="1:1">
      <c r="A7976" s="45"/>
    </row>
    <row r="7977" spans="1:1">
      <c r="A7977" s="45"/>
    </row>
    <row r="7978" spans="1:1">
      <c r="A7978" s="45"/>
    </row>
    <row r="7979" spans="1:1">
      <c r="A7979" s="45"/>
    </row>
    <row r="7980" spans="1:1">
      <c r="A7980" s="45"/>
    </row>
    <row r="7981" spans="1:1">
      <c r="A7981" s="45"/>
    </row>
    <row r="7982" spans="1:1">
      <c r="A7982" s="45"/>
    </row>
    <row r="7983" spans="1:1">
      <c r="A7983" s="45"/>
    </row>
    <row r="7984" spans="1:1">
      <c r="A7984" s="45"/>
    </row>
    <row r="7985" spans="1:1">
      <c r="A7985" s="45"/>
    </row>
    <row r="7986" spans="1:1">
      <c r="A7986" s="45"/>
    </row>
    <row r="7987" spans="1:1">
      <c r="A7987" s="45"/>
    </row>
    <row r="7988" spans="1:1">
      <c r="A7988" s="45"/>
    </row>
    <row r="7989" spans="1:1">
      <c r="A7989" s="45"/>
    </row>
    <row r="7990" spans="1:1">
      <c r="A7990" s="45"/>
    </row>
    <row r="7991" spans="1:1">
      <c r="A7991" s="45"/>
    </row>
    <row r="7992" spans="1:1">
      <c r="A7992" s="45"/>
    </row>
    <row r="7993" spans="1:1">
      <c r="A7993" s="45"/>
    </row>
    <row r="7994" spans="1:1">
      <c r="A7994" s="45"/>
    </row>
    <row r="7995" spans="1:1">
      <c r="A7995" s="45"/>
    </row>
    <row r="7996" spans="1:1">
      <c r="A7996" s="45"/>
    </row>
    <row r="7997" spans="1:1">
      <c r="A7997" s="45"/>
    </row>
    <row r="7998" spans="1:1">
      <c r="A7998" s="45"/>
    </row>
    <row r="7999" spans="1:1">
      <c r="A7999" s="45"/>
    </row>
    <row r="8000" spans="1:1">
      <c r="A8000" s="45"/>
    </row>
    <row r="8001" spans="1:1">
      <c r="A8001" s="45"/>
    </row>
    <row r="8002" spans="1:1">
      <c r="A8002" s="45"/>
    </row>
    <row r="8003" spans="1:1">
      <c r="A8003" s="45"/>
    </row>
    <row r="8004" spans="1:1">
      <c r="A8004" s="45"/>
    </row>
    <row r="8005" spans="1:1">
      <c r="A8005" s="45"/>
    </row>
    <row r="8006" spans="1:1">
      <c r="A8006" s="45"/>
    </row>
    <row r="8007" spans="1:1">
      <c r="A8007" s="45"/>
    </row>
    <row r="8008" spans="1:1">
      <c r="A8008" s="45"/>
    </row>
    <row r="8009" spans="1:1">
      <c r="A8009" s="45"/>
    </row>
    <row r="8010" spans="1:1">
      <c r="A8010" s="45"/>
    </row>
    <row r="8011" spans="1:1">
      <c r="A8011" s="45"/>
    </row>
    <row r="8012" spans="1:1">
      <c r="A8012" s="45"/>
    </row>
    <row r="8013" spans="1:1">
      <c r="A8013" s="45"/>
    </row>
    <row r="8014" spans="1:1">
      <c r="A8014" s="45"/>
    </row>
    <row r="8015" spans="1:1">
      <c r="A8015" s="45"/>
    </row>
    <row r="8016" spans="1:1">
      <c r="A8016" s="45"/>
    </row>
    <row r="8017" spans="1:1">
      <c r="A8017" s="45"/>
    </row>
    <row r="8018" spans="1:1">
      <c r="A8018" s="45"/>
    </row>
    <row r="8019" spans="1:1">
      <c r="A8019" s="45"/>
    </row>
    <row r="8020" spans="1:1">
      <c r="A8020" s="45"/>
    </row>
    <row r="8021" spans="1:1">
      <c r="A8021" s="45"/>
    </row>
    <row r="8022" spans="1:1">
      <c r="A8022" s="45"/>
    </row>
    <row r="8023" spans="1:1">
      <c r="A8023" s="45"/>
    </row>
    <row r="8024" spans="1:1">
      <c r="A8024" s="45"/>
    </row>
    <row r="8025" spans="1:1">
      <c r="A8025" s="45"/>
    </row>
    <row r="8026" spans="1:1">
      <c r="A8026" s="45"/>
    </row>
    <row r="8027" spans="1:1">
      <c r="A8027" s="45"/>
    </row>
    <row r="8028" spans="1:1">
      <c r="A8028" s="45"/>
    </row>
    <row r="8029" spans="1:1">
      <c r="A8029" s="45"/>
    </row>
    <row r="8030" spans="1:1">
      <c r="A8030" s="45"/>
    </row>
    <row r="8031" spans="1:1">
      <c r="A8031" s="45"/>
    </row>
    <row r="8032" spans="1:1">
      <c r="A8032" s="45"/>
    </row>
    <row r="8033" spans="1:1">
      <c r="A8033" s="45"/>
    </row>
    <row r="8034" spans="1:1">
      <c r="A8034" s="45"/>
    </row>
    <row r="8035" spans="1:1">
      <c r="A8035" s="45"/>
    </row>
    <row r="8036" spans="1:1">
      <c r="A8036" s="45"/>
    </row>
    <row r="8037" spans="1:1">
      <c r="A8037" s="45"/>
    </row>
    <row r="8038" spans="1:1">
      <c r="A8038" s="45"/>
    </row>
    <row r="8039" spans="1:1">
      <c r="A8039" s="45"/>
    </row>
    <row r="8040" spans="1:1">
      <c r="A8040" s="45"/>
    </row>
    <row r="8041" spans="1:1">
      <c r="A8041" s="45"/>
    </row>
    <row r="8042" spans="1:1">
      <c r="A8042" s="45"/>
    </row>
    <row r="8043" spans="1:1">
      <c r="A8043" s="45"/>
    </row>
    <row r="8044" spans="1:1">
      <c r="A8044" s="45"/>
    </row>
    <row r="8045" spans="1:1">
      <c r="A8045" s="45"/>
    </row>
    <row r="8046" spans="1:1">
      <c r="A8046" s="45"/>
    </row>
    <row r="8047" spans="1:1">
      <c r="A8047" s="45"/>
    </row>
    <row r="8048" spans="1:1">
      <c r="A8048" s="45"/>
    </row>
    <row r="8049" spans="1:1">
      <c r="A8049" s="45"/>
    </row>
    <row r="8050" spans="1:1">
      <c r="A8050" s="45"/>
    </row>
    <row r="8051" spans="1:1">
      <c r="A8051" s="45"/>
    </row>
    <row r="8052" spans="1:1">
      <c r="A8052" s="45"/>
    </row>
    <row r="8053" spans="1:1">
      <c r="A8053" s="45"/>
    </row>
    <row r="8054" spans="1:1">
      <c r="A8054" s="45"/>
    </row>
    <row r="8055" spans="1:1">
      <c r="A8055" s="45"/>
    </row>
    <row r="8056" spans="1:1">
      <c r="A8056" s="45"/>
    </row>
    <row r="8057" spans="1:1">
      <c r="A8057" s="45"/>
    </row>
    <row r="8058" spans="1:1">
      <c r="A8058" s="45"/>
    </row>
    <row r="8059" spans="1:1">
      <c r="A8059" s="45"/>
    </row>
    <row r="8060" spans="1:1">
      <c r="A8060" s="45"/>
    </row>
    <row r="8061" spans="1:1">
      <c r="A8061" s="45"/>
    </row>
    <row r="8062" spans="1:1">
      <c r="A8062" s="45"/>
    </row>
    <row r="8063" spans="1:1">
      <c r="A8063" s="45"/>
    </row>
    <row r="8064" spans="1:1">
      <c r="A8064" s="45"/>
    </row>
    <row r="8065" spans="1:1">
      <c r="A8065" s="45"/>
    </row>
    <row r="8066" spans="1:1">
      <c r="A8066" s="45"/>
    </row>
    <row r="8067" spans="1:1">
      <c r="A8067" s="45"/>
    </row>
    <row r="8068" spans="1:1">
      <c r="A8068" s="45"/>
    </row>
    <row r="8069" spans="1:1">
      <c r="A8069" s="45"/>
    </row>
    <row r="8070" spans="1:1">
      <c r="A8070" s="45"/>
    </row>
    <row r="8071" spans="1:1">
      <c r="A8071" s="45"/>
    </row>
    <row r="8072" spans="1:1">
      <c r="A8072" s="45"/>
    </row>
    <row r="8073" spans="1:1">
      <c r="A8073" s="45"/>
    </row>
    <row r="8074" spans="1:1">
      <c r="A8074" s="45"/>
    </row>
    <row r="8075" spans="1:1">
      <c r="A8075" s="45"/>
    </row>
    <row r="8076" spans="1:1">
      <c r="A8076" s="45"/>
    </row>
    <row r="8077" spans="1:1">
      <c r="A8077" s="45"/>
    </row>
    <row r="8078" spans="1:1">
      <c r="A8078" s="45"/>
    </row>
    <row r="8079" spans="1:1">
      <c r="A8079" s="45"/>
    </row>
    <row r="8080" spans="1:1">
      <c r="A8080" s="45"/>
    </row>
    <row r="8081" spans="1:1">
      <c r="A8081" s="45"/>
    </row>
    <row r="8082" spans="1:1">
      <c r="A8082" s="45"/>
    </row>
    <row r="8083" spans="1:1">
      <c r="A8083" s="45"/>
    </row>
    <row r="8084" spans="1:1">
      <c r="A8084" s="45"/>
    </row>
    <row r="8085" spans="1:1">
      <c r="A8085" s="45"/>
    </row>
    <row r="8086" spans="1:1">
      <c r="A8086" s="45"/>
    </row>
    <row r="8087" spans="1:1">
      <c r="A8087" s="45"/>
    </row>
    <row r="8088" spans="1:1">
      <c r="A8088" s="45"/>
    </row>
    <row r="8089" spans="1:1">
      <c r="A8089" s="45"/>
    </row>
    <row r="8090" spans="1:1">
      <c r="A8090" s="45"/>
    </row>
    <row r="8091" spans="1:1">
      <c r="A8091" s="45"/>
    </row>
    <row r="8092" spans="1:1">
      <c r="A8092" s="45"/>
    </row>
    <row r="8093" spans="1:1">
      <c r="A8093" s="45"/>
    </row>
    <row r="8094" spans="1:1">
      <c r="A8094" s="45"/>
    </row>
    <row r="8095" spans="1:1">
      <c r="A8095" s="45"/>
    </row>
    <row r="8096" spans="1:1">
      <c r="A8096" s="45"/>
    </row>
    <row r="8097" spans="1:1">
      <c r="A8097" s="45"/>
    </row>
    <row r="8098" spans="1:1">
      <c r="A8098" s="45"/>
    </row>
    <row r="8099" spans="1:1">
      <c r="A8099" s="45"/>
    </row>
    <row r="8100" spans="1:1">
      <c r="A8100" s="45"/>
    </row>
    <row r="8101" spans="1:1">
      <c r="A8101" s="45"/>
    </row>
    <row r="8102" spans="1:1">
      <c r="A8102" s="45"/>
    </row>
    <row r="8103" spans="1:1">
      <c r="A8103" s="45"/>
    </row>
    <row r="8104" spans="1:1">
      <c r="A8104" s="45"/>
    </row>
    <row r="8105" spans="1:1">
      <c r="A8105" s="45"/>
    </row>
    <row r="8106" spans="1:1">
      <c r="A8106" s="45"/>
    </row>
    <row r="8107" spans="1:1">
      <c r="A8107" s="45"/>
    </row>
    <row r="8108" spans="1:1">
      <c r="A8108" s="45"/>
    </row>
    <row r="8109" spans="1:1">
      <c r="A8109" s="45"/>
    </row>
    <row r="8110" spans="1:1">
      <c r="A8110" s="45"/>
    </row>
    <row r="8111" spans="1:1">
      <c r="A8111" s="45"/>
    </row>
    <row r="8112" spans="1:1">
      <c r="A8112" s="45"/>
    </row>
    <row r="8113" spans="1:1">
      <c r="A8113" s="45"/>
    </row>
    <row r="8114" spans="1:1">
      <c r="A8114" s="45"/>
    </row>
    <row r="8115" spans="1:1">
      <c r="A8115" s="45"/>
    </row>
    <row r="8116" spans="1:1">
      <c r="A8116" s="45"/>
    </row>
    <row r="8117" spans="1:1">
      <c r="A8117" s="45"/>
    </row>
    <row r="8118" spans="1:1">
      <c r="A8118" s="45"/>
    </row>
    <row r="8119" spans="1:1">
      <c r="A8119" s="45"/>
    </row>
    <row r="8120" spans="1:1">
      <c r="A8120" s="45"/>
    </row>
    <row r="8121" spans="1:1">
      <c r="A8121" s="45"/>
    </row>
    <row r="8122" spans="1:1">
      <c r="A8122" s="45"/>
    </row>
    <row r="8123" spans="1:1">
      <c r="A8123" s="45"/>
    </row>
    <row r="8124" spans="1:1">
      <c r="A8124" s="45"/>
    </row>
    <row r="8125" spans="1:1">
      <c r="A8125" s="45"/>
    </row>
    <row r="8126" spans="1:1">
      <c r="A8126" s="45"/>
    </row>
    <row r="8127" spans="1:1">
      <c r="A8127" s="45"/>
    </row>
    <row r="8128" spans="1:1">
      <c r="A8128" s="45"/>
    </row>
    <row r="8129" spans="1:1">
      <c r="A8129" s="45"/>
    </row>
    <row r="8130" spans="1:1">
      <c r="A8130" s="45"/>
    </row>
    <row r="8131" spans="1:1">
      <c r="A8131" s="45"/>
    </row>
    <row r="8132" spans="1:1">
      <c r="A8132" s="45"/>
    </row>
    <row r="8133" spans="1:1">
      <c r="A8133" s="45"/>
    </row>
    <row r="8134" spans="1:1">
      <c r="A8134" s="45"/>
    </row>
    <row r="8135" spans="1:1">
      <c r="A8135" s="45"/>
    </row>
    <row r="8136" spans="1:1">
      <c r="A8136" s="45"/>
    </row>
    <row r="8137" spans="1:1">
      <c r="A8137" s="45"/>
    </row>
    <row r="8138" spans="1:1">
      <c r="A8138" s="45"/>
    </row>
    <row r="8139" spans="1:1">
      <c r="A8139" s="45"/>
    </row>
    <row r="8140" spans="1:1">
      <c r="A8140" s="45"/>
    </row>
    <row r="8141" spans="1:1">
      <c r="A8141" s="45"/>
    </row>
    <row r="8142" spans="1:1">
      <c r="A8142" s="45"/>
    </row>
    <row r="8143" spans="1:1">
      <c r="A8143" s="45"/>
    </row>
    <row r="8144" spans="1:1">
      <c r="A8144" s="45"/>
    </row>
    <row r="8145" spans="1:1">
      <c r="A8145" s="45"/>
    </row>
    <row r="8146" spans="1:1">
      <c r="A8146" s="45"/>
    </row>
    <row r="8147" spans="1:1">
      <c r="A8147" s="45"/>
    </row>
    <row r="8148" spans="1:1">
      <c r="A8148" s="45"/>
    </row>
    <row r="8149" spans="1:1">
      <c r="A8149" s="45"/>
    </row>
    <row r="8150" spans="1:1">
      <c r="A8150" s="45"/>
    </row>
    <row r="8151" spans="1:1">
      <c r="A8151" s="45"/>
    </row>
    <row r="8152" spans="1:1">
      <c r="A8152" s="45"/>
    </row>
    <row r="8153" spans="1:1">
      <c r="A8153" s="45"/>
    </row>
    <row r="8154" spans="1:1">
      <c r="A8154" s="45"/>
    </row>
    <row r="8155" spans="1:1">
      <c r="A8155" s="45"/>
    </row>
    <row r="8156" spans="1:1">
      <c r="A8156" s="45"/>
    </row>
    <row r="8157" spans="1:1">
      <c r="A8157" s="45"/>
    </row>
    <row r="8158" spans="1:1">
      <c r="A8158" s="45"/>
    </row>
    <row r="8159" spans="1:1">
      <c r="A8159" s="45"/>
    </row>
    <row r="8160" spans="1:1">
      <c r="A8160" s="45"/>
    </row>
    <row r="8161" spans="1:1">
      <c r="A8161" s="45"/>
    </row>
    <row r="8162" spans="1:1">
      <c r="A8162" s="45"/>
    </row>
    <row r="8163" spans="1:1">
      <c r="A8163" s="45"/>
    </row>
    <row r="8164" spans="1:1">
      <c r="A8164" s="45"/>
    </row>
    <row r="8165" spans="1:1">
      <c r="A8165" s="45"/>
    </row>
    <row r="8166" spans="1:1">
      <c r="A8166" s="45"/>
    </row>
    <row r="8167" spans="1:1">
      <c r="A8167" s="45"/>
    </row>
    <row r="8168" spans="1:1">
      <c r="A8168" s="45"/>
    </row>
    <row r="8169" spans="1:1">
      <c r="A8169" s="45"/>
    </row>
    <row r="8170" spans="1:1">
      <c r="A8170" s="45"/>
    </row>
    <row r="8171" spans="1:1">
      <c r="A8171" s="45"/>
    </row>
    <row r="8172" spans="1:1">
      <c r="A8172" s="45"/>
    </row>
    <row r="8173" spans="1:1">
      <c r="A8173" s="45"/>
    </row>
    <row r="8174" spans="1:1">
      <c r="A8174" s="45"/>
    </row>
    <row r="8175" spans="1:1">
      <c r="A8175" s="45"/>
    </row>
    <row r="8176" spans="1:1">
      <c r="A8176" s="45"/>
    </row>
    <row r="8177" spans="1:1">
      <c r="A8177" s="45"/>
    </row>
    <row r="8178" spans="1:1">
      <c r="A8178" s="45"/>
    </row>
    <row r="8179" spans="1:1">
      <c r="A8179" s="45"/>
    </row>
    <row r="8180" spans="1:1">
      <c r="A8180" s="45"/>
    </row>
    <row r="8181" spans="1:1">
      <c r="A8181" s="45"/>
    </row>
    <row r="8182" spans="1:1">
      <c r="A8182" s="45"/>
    </row>
    <row r="8183" spans="1:1">
      <c r="A8183" s="45"/>
    </row>
    <row r="8184" spans="1:1">
      <c r="A8184" s="45"/>
    </row>
    <row r="8185" spans="1:1">
      <c r="A8185" s="45"/>
    </row>
    <row r="8186" spans="1:1">
      <c r="A8186" s="45"/>
    </row>
    <row r="8187" spans="1:1">
      <c r="A8187" s="45"/>
    </row>
    <row r="8188" spans="1:1">
      <c r="A8188" s="45"/>
    </row>
    <row r="8189" spans="1:1">
      <c r="A8189" s="45"/>
    </row>
    <row r="8190" spans="1:1">
      <c r="A8190" s="45"/>
    </row>
    <row r="8191" spans="1:1">
      <c r="A8191" s="45"/>
    </row>
    <row r="8192" spans="1:1">
      <c r="A8192" s="45"/>
    </row>
    <row r="8193" spans="1:1">
      <c r="A8193" s="45"/>
    </row>
    <row r="8194" spans="1:1">
      <c r="A8194" s="45"/>
    </row>
    <row r="8195" spans="1:1">
      <c r="A8195" s="45"/>
    </row>
    <row r="8196" spans="1:1">
      <c r="A8196" s="45"/>
    </row>
    <row r="8197" spans="1:1">
      <c r="A8197" s="45"/>
    </row>
    <row r="8198" spans="1:1">
      <c r="A8198" s="45"/>
    </row>
    <row r="8199" spans="1:1">
      <c r="A8199" s="45"/>
    </row>
    <row r="8200" spans="1:1">
      <c r="A8200" s="45"/>
    </row>
    <row r="8201" spans="1:1">
      <c r="A8201" s="45"/>
    </row>
    <row r="8202" spans="1:1">
      <c r="A8202" s="45"/>
    </row>
    <row r="8203" spans="1:1">
      <c r="A8203" s="45"/>
    </row>
    <row r="8204" spans="1:1">
      <c r="A8204" s="45"/>
    </row>
    <row r="8205" spans="1:1">
      <c r="A8205" s="45"/>
    </row>
    <row r="8206" spans="1:1">
      <c r="A8206" s="45"/>
    </row>
    <row r="8207" spans="1:1">
      <c r="A8207" s="45"/>
    </row>
    <row r="8208" spans="1:1">
      <c r="A8208" s="45"/>
    </row>
    <row r="8209" spans="1:1">
      <c r="A8209" s="45"/>
    </row>
    <row r="8210" spans="1:1">
      <c r="A8210" s="45"/>
    </row>
    <row r="8211" spans="1:1">
      <c r="A8211" s="45"/>
    </row>
    <row r="8212" spans="1:1">
      <c r="A8212" s="45"/>
    </row>
    <row r="8213" spans="1:1">
      <c r="A8213" s="45"/>
    </row>
    <row r="8214" spans="1:1">
      <c r="A8214" s="45"/>
    </row>
    <row r="8215" spans="1:1">
      <c r="A8215" s="45"/>
    </row>
    <row r="8216" spans="1:1">
      <c r="A8216" s="45"/>
    </row>
    <row r="8217" spans="1:1">
      <c r="A8217" s="45"/>
    </row>
    <row r="8218" spans="1:1">
      <c r="A8218" s="45"/>
    </row>
    <row r="8219" spans="1:1">
      <c r="A8219" s="45"/>
    </row>
    <row r="8220" spans="1:1">
      <c r="A8220" s="45"/>
    </row>
    <row r="8221" spans="1:1">
      <c r="A8221" s="45"/>
    </row>
    <row r="8222" spans="1:1">
      <c r="A8222" s="45"/>
    </row>
    <row r="8223" spans="1:1">
      <c r="A8223" s="45"/>
    </row>
    <row r="8224" spans="1:1">
      <c r="A8224" s="45"/>
    </row>
    <row r="8225" spans="1:1">
      <c r="A8225" s="45"/>
    </row>
    <row r="8226" spans="1:1">
      <c r="A8226" s="45"/>
    </row>
    <row r="8227" spans="1:1">
      <c r="A8227" s="45"/>
    </row>
    <row r="8228" spans="1:1">
      <c r="A8228" s="45"/>
    </row>
    <row r="8229" spans="1:1">
      <c r="A8229" s="45"/>
    </row>
    <row r="8230" spans="1:1">
      <c r="A8230" s="45"/>
    </row>
    <row r="8231" spans="1:1">
      <c r="A8231" s="45"/>
    </row>
    <row r="8232" spans="1:1">
      <c r="A8232" s="45"/>
    </row>
    <row r="8233" spans="1:1">
      <c r="A8233" s="45"/>
    </row>
    <row r="8234" spans="1:1">
      <c r="A8234" s="45"/>
    </row>
    <row r="8235" spans="1:1">
      <c r="A8235" s="45"/>
    </row>
    <row r="8236" spans="1:1">
      <c r="A8236" s="45"/>
    </row>
    <row r="8237" spans="1:1">
      <c r="A8237" s="45"/>
    </row>
    <row r="8238" spans="1:1">
      <c r="A8238" s="45"/>
    </row>
    <row r="8239" spans="1:1">
      <c r="A8239" s="45"/>
    </row>
    <row r="8240" spans="1:1">
      <c r="A8240" s="45"/>
    </row>
    <row r="8241" spans="1:1">
      <c r="A8241" s="45"/>
    </row>
    <row r="8242" spans="1:1">
      <c r="A8242" s="45"/>
    </row>
    <row r="8243" spans="1:1">
      <c r="A8243" s="45"/>
    </row>
    <row r="8244" spans="1:1">
      <c r="A8244" s="45"/>
    </row>
    <row r="8245" spans="1:1">
      <c r="A8245" s="45"/>
    </row>
    <row r="8246" spans="1:1">
      <c r="A8246" s="45"/>
    </row>
    <row r="8247" spans="1:1">
      <c r="A8247" s="45"/>
    </row>
    <row r="8248" spans="1:1">
      <c r="A8248" s="45"/>
    </row>
    <row r="8249" spans="1:1">
      <c r="A8249" s="45"/>
    </row>
    <row r="8250" spans="1:1">
      <c r="A8250" s="45"/>
    </row>
    <row r="8251" spans="1:1">
      <c r="A8251" s="45"/>
    </row>
    <row r="8252" spans="1:1">
      <c r="A8252" s="45"/>
    </row>
    <row r="8253" spans="1:1">
      <c r="A8253" s="45"/>
    </row>
    <row r="8254" spans="1:1">
      <c r="A8254" s="45"/>
    </row>
    <row r="8255" spans="1:1">
      <c r="A8255" s="45"/>
    </row>
    <row r="8256" spans="1:1">
      <c r="A8256" s="45"/>
    </row>
    <row r="8257" spans="1:1">
      <c r="A8257" s="45"/>
    </row>
    <row r="8258" spans="1:1">
      <c r="A8258" s="45"/>
    </row>
    <row r="8259" spans="1:1">
      <c r="A8259" s="45"/>
    </row>
    <row r="8260" spans="1:1">
      <c r="A8260" s="45"/>
    </row>
    <row r="8261" spans="1:1">
      <c r="A8261" s="45"/>
    </row>
    <row r="8262" spans="1:1">
      <c r="A8262" s="45"/>
    </row>
    <row r="8263" spans="1:1">
      <c r="A8263" s="45"/>
    </row>
    <row r="8264" spans="1:1">
      <c r="A8264" s="45"/>
    </row>
    <row r="8265" spans="1:1">
      <c r="A8265" s="45"/>
    </row>
    <row r="8266" spans="1:1">
      <c r="A8266" s="45"/>
    </row>
    <row r="8267" spans="1:1">
      <c r="A8267" s="45"/>
    </row>
    <row r="8268" spans="1:1">
      <c r="A8268" s="45"/>
    </row>
    <row r="8269" spans="1:1">
      <c r="A8269" s="45"/>
    </row>
    <row r="8270" spans="1:1">
      <c r="A8270" s="45"/>
    </row>
    <row r="8271" spans="1:1">
      <c r="A8271" s="45"/>
    </row>
    <row r="8272" spans="1:1">
      <c r="A8272" s="45"/>
    </row>
    <row r="8273" spans="1:1">
      <c r="A8273" s="45"/>
    </row>
    <row r="8274" spans="1:1">
      <c r="A8274" s="45"/>
    </row>
    <row r="8275" spans="1:1">
      <c r="A8275" s="45"/>
    </row>
    <row r="8276" spans="1:1">
      <c r="A8276" s="45"/>
    </row>
    <row r="8277" spans="1:1">
      <c r="A8277" s="45"/>
    </row>
    <row r="8278" spans="1:1">
      <c r="A8278" s="45"/>
    </row>
    <row r="8279" spans="1:1">
      <c r="A8279" s="45"/>
    </row>
    <row r="8280" spans="1:1">
      <c r="A8280" s="45"/>
    </row>
    <row r="8281" spans="1:1">
      <c r="A8281" s="45"/>
    </row>
    <row r="8282" spans="1:1">
      <c r="A8282" s="45"/>
    </row>
    <row r="8283" spans="1:1">
      <c r="A8283" s="45"/>
    </row>
    <row r="8284" spans="1:1">
      <c r="A8284" s="45"/>
    </row>
    <row r="8285" spans="1:1">
      <c r="A8285" s="45"/>
    </row>
    <row r="8286" spans="1:1">
      <c r="A8286" s="45"/>
    </row>
    <row r="8287" spans="1:1">
      <c r="A8287" s="45"/>
    </row>
    <row r="8288" spans="1:1">
      <c r="A8288" s="45"/>
    </row>
    <row r="8289" spans="1:1">
      <c r="A8289" s="45"/>
    </row>
    <row r="8290" spans="1:1">
      <c r="A8290" s="45"/>
    </row>
    <row r="8291" spans="1:1">
      <c r="A8291" s="45"/>
    </row>
    <row r="8292" spans="1:1">
      <c r="A8292" s="45"/>
    </row>
    <row r="8293" spans="1:1">
      <c r="A8293" s="45"/>
    </row>
    <row r="8294" spans="1:1">
      <c r="A8294" s="45"/>
    </row>
    <row r="8295" spans="1:1">
      <c r="A8295" s="45"/>
    </row>
    <row r="8296" spans="1:1">
      <c r="A8296" s="45"/>
    </row>
    <row r="8297" spans="1:1">
      <c r="A8297" s="45"/>
    </row>
    <row r="8298" spans="1:1">
      <c r="A8298" s="45"/>
    </row>
    <row r="8299" spans="1:1">
      <c r="A8299" s="45"/>
    </row>
    <row r="8300" spans="1:1">
      <c r="A8300" s="45"/>
    </row>
    <row r="8301" spans="1:1">
      <c r="A8301" s="45"/>
    </row>
    <row r="8302" spans="1:1">
      <c r="A8302" s="45"/>
    </row>
    <row r="8303" spans="1:1">
      <c r="A8303" s="45"/>
    </row>
    <row r="8304" spans="1:1">
      <c r="A8304" s="45"/>
    </row>
    <row r="8305" spans="1:1">
      <c r="A8305" s="45"/>
    </row>
    <row r="8306" spans="1:1">
      <c r="A8306" s="45"/>
    </row>
    <row r="8307" spans="1:1">
      <c r="A8307" s="45"/>
    </row>
    <row r="8308" spans="1:1">
      <c r="A8308" s="45"/>
    </row>
    <row r="8309" spans="1:1">
      <c r="A8309" s="45"/>
    </row>
    <row r="8310" spans="1:1">
      <c r="A8310" s="45"/>
    </row>
    <row r="8311" spans="1:1">
      <c r="A8311" s="45"/>
    </row>
    <row r="8312" spans="1:1">
      <c r="A8312" s="45"/>
    </row>
    <row r="8313" spans="1:1">
      <c r="A8313" s="45"/>
    </row>
    <row r="8314" spans="1:1">
      <c r="A8314" s="45"/>
    </row>
    <row r="8315" spans="1:1">
      <c r="A8315" s="45"/>
    </row>
    <row r="8316" spans="1:1">
      <c r="A8316" s="45"/>
    </row>
    <row r="8317" spans="1:1">
      <c r="A8317" s="45"/>
    </row>
    <row r="8318" spans="1:1">
      <c r="A8318" s="45"/>
    </row>
    <row r="8319" spans="1:1">
      <c r="A8319" s="45"/>
    </row>
    <row r="8320" spans="1:1">
      <c r="A8320" s="45"/>
    </row>
    <row r="8321" spans="1:1">
      <c r="A8321" s="45"/>
    </row>
    <row r="8322" spans="1:1">
      <c r="A8322" s="45"/>
    </row>
    <row r="8323" spans="1:1">
      <c r="A8323" s="45"/>
    </row>
    <row r="8324" spans="1:1">
      <c r="A8324" s="45"/>
    </row>
    <row r="8325" spans="1:1">
      <c r="A8325" s="45"/>
    </row>
    <row r="8326" spans="1:1">
      <c r="A8326" s="45"/>
    </row>
    <row r="8327" spans="1:1">
      <c r="A8327" s="45"/>
    </row>
    <row r="8328" spans="1:1">
      <c r="A8328" s="45"/>
    </row>
    <row r="8329" spans="1:1">
      <c r="A8329" s="45"/>
    </row>
    <row r="8330" spans="1:1">
      <c r="A8330" s="45"/>
    </row>
    <row r="8331" spans="1:1">
      <c r="A8331" s="45"/>
    </row>
    <row r="8332" spans="1:1">
      <c r="A8332" s="45"/>
    </row>
    <row r="8333" spans="1:1">
      <c r="A8333" s="45"/>
    </row>
    <row r="8334" spans="1:1">
      <c r="A8334" s="45"/>
    </row>
    <row r="8335" spans="1:1">
      <c r="A8335" s="45"/>
    </row>
    <row r="8336" spans="1:1">
      <c r="A8336" s="45"/>
    </row>
    <row r="8337" spans="1:1">
      <c r="A8337" s="45"/>
    </row>
    <row r="8338" spans="1:1">
      <c r="A8338" s="45"/>
    </row>
    <row r="8339" spans="1:1">
      <c r="A8339" s="45"/>
    </row>
    <row r="8340" spans="1:1">
      <c r="A8340" s="45"/>
    </row>
    <row r="8341" spans="1:1">
      <c r="A8341" s="45"/>
    </row>
    <row r="8342" spans="1:1">
      <c r="A8342" s="45"/>
    </row>
    <row r="8343" spans="1:1">
      <c r="A8343" s="45"/>
    </row>
    <row r="8344" spans="1:1">
      <c r="A8344" s="45"/>
    </row>
    <row r="8345" spans="1:1">
      <c r="A8345" s="45"/>
    </row>
    <row r="8346" spans="1:1">
      <c r="A8346" s="45"/>
    </row>
    <row r="8347" spans="1:1">
      <c r="A8347" s="45"/>
    </row>
    <row r="8348" spans="1:1">
      <c r="A8348" s="45"/>
    </row>
    <row r="8349" spans="1:1">
      <c r="A8349" s="45"/>
    </row>
    <row r="8350" spans="1:1">
      <c r="A8350" s="45"/>
    </row>
    <row r="8351" spans="1:1">
      <c r="A8351" s="45"/>
    </row>
    <row r="8352" spans="1:1">
      <c r="A8352" s="45"/>
    </row>
    <row r="8353" spans="1:1">
      <c r="A8353" s="45"/>
    </row>
    <row r="8354" spans="1:1">
      <c r="A8354" s="45"/>
    </row>
    <row r="8355" spans="1:1">
      <c r="A8355" s="45"/>
    </row>
    <row r="8356" spans="1:1">
      <c r="A8356" s="45"/>
    </row>
    <row r="8357" spans="1:1">
      <c r="A8357" s="45"/>
    </row>
    <row r="8358" spans="1:1">
      <c r="A8358" s="45"/>
    </row>
    <row r="8359" spans="1:1">
      <c r="A8359" s="45"/>
    </row>
    <row r="8360" spans="1:1">
      <c r="A8360" s="45"/>
    </row>
    <row r="8361" spans="1:1">
      <c r="A8361" s="45"/>
    </row>
    <row r="8362" spans="1:1">
      <c r="A8362" s="45"/>
    </row>
    <row r="8363" spans="1:1">
      <c r="A8363" s="45"/>
    </row>
    <row r="8364" spans="1:1">
      <c r="A8364" s="45"/>
    </row>
    <row r="8365" spans="1:1">
      <c r="A8365" s="45"/>
    </row>
    <row r="8366" spans="1:1">
      <c r="A8366" s="45"/>
    </row>
    <row r="8367" spans="1:1">
      <c r="A8367" s="45"/>
    </row>
    <row r="8368" spans="1:1">
      <c r="A8368" s="45"/>
    </row>
    <row r="8369" spans="1:1">
      <c r="A8369" s="45"/>
    </row>
    <row r="8370" spans="1:1">
      <c r="A8370" s="45"/>
    </row>
    <row r="8371" spans="1:1">
      <c r="A8371" s="45"/>
    </row>
    <row r="8372" spans="1:1">
      <c r="A8372" s="45"/>
    </row>
    <row r="8373" spans="1:1">
      <c r="A8373" s="45"/>
    </row>
    <row r="8374" spans="1:1">
      <c r="A8374" s="45"/>
    </row>
    <row r="8375" spans="1:1">
      <c r="A8375" s="45"/>
    </row>
    <row r="8376" spans="1:1">
      <c r="A8376" s="45"/>
    </row>
    <row r="8377" spans="1:1">
      <c r="A8377" s="45"/>
    </row>
    <row r="8378" spans="1:1">
      <c r="A8378" s="45"/>
    </row>
    <row r="8379" spans="1:1">
      <c r="A8379" s="45"/>
    </row>
    <row r="8380" spans="1:1">
      <c r="A8380" s="45"/>
    </row>
    <row r="8381" spans="1:1">
      <c r="A8381" s="45"/>
    </row>
    <row r="8382" spans="1:1">
      <c r="A8382" s="45"/>
    </row>
    <row r="8383" spans="1:1">
      <c r="A8383" s="45"/>
    </row>
    <row r="8384" spans="1:1">
      <c r="A8384" s="45"/>
    </row>
    <row r="8385" spans="1:1">
      <c r="A8385" s="45"/>
    </row>
    <row r="8386" spans="1:1">
      <c r="A8386" s="45"/>
    </row>
    <row r="8387" spans="1:1">
      <c r="A8387" s="45"/>
    </row>
    <row r="8388" spans="1:1">
      <c r="A8388" s="45"/>
    </row>
    <row r="8389" spans="1:1">
      <c r="A8389" s="45"/>
    </row>
    <row r="8390" spans="1:1">
      <c r="A8390" s="45"/>
    </row>
    <row r="8391" spans="1:1">
      <c r="A8391" s="45"/>
    </row>
    <row r="8392" spans="1:1">
      <c r="A8392" s="45"/>
    </row>
    <row r="8393" spans="1:1">
      <c r="A8393" s="45"/>
    </row>
    <row r="8394" spans="1:1">
      <c r="A8394" s="45"/>
    </row>
    <row r="8395" spans="1:1">
      <c r="A8395" s="45"/>
    </row>
    <row r="8396" spans="1:1">
      <c r="A8396" s="45"/>
    </row>
    <row r="8397" spans="1:1">
      <c r="A8397" s="45"/>
    </row>
    <row r="8398" spans="1:1">
      <c r="A8398" s="45"/>
    </row>
    <row r="8399" spans="1:1">
      <c r="A8399" s="45"/>
    </row>
    <row r="8400" spans="1:1">
      <c r="A8400" s="45"/>
    </row>
    <row r="8401" spans="1:1">
      <c r="A8401" s="45"/>
    </row>
    <row r="8402" spans="1:1">
      <c r="A8402" s="45"/>
    </row>
    <row r="8403" spans="1:1">
      <c r="A8403" s="45"/>
    </row>
    <row r="8404" spans="1:1">
      <c r="A8404" s="45"/>
    </row>
    <row r="8405" spans="1:1">
      <c r="A8405" s="45"/>
    </row>
    <row r="8406" spans="1:1">
      <c r="A8406" s="45"/>
    </row>
    <row r="8407" spans="1:1">
      <c r="A8407" s="45"/>
    </row>
    <row r="8408" spans="1:1">
      <c r="A8408" s="45"/>
    </row>
    <row r="8409" spans="1:1">
      <c r="A8409" s="45"/>
    </row>
    <row r="8410" spans="1:1">
      <c r="A8410" s="45"/>
    </row>
    <row r="8411" spans="1:1">
      <c r="A8411" s="45"/>
    </row>
    <row r="8412" spans="1:1">
      <c r="A8412" s="45"/>
    </row>
    <row r="8413" spans="1:1">
      <c r="A8413" s="45"/>
    </row>
    <row r="8414" spans="1:1">
      <c r="A8414" s="45"/>
    </row>
    <row r="8415" spans="1:1">
      <c r="A8415" s="45"/>
    </row>
    <row r="8416" spans="1:1">
      <c r="A8416" s="45"/>
    </row>
    <row r="8417" spans="1:1">
      <c r="A8417" s="45"/>
    </row>
    <row r="8418" spans="1:1">
      <c r="A8418" s="45"/>
    </row>
    <row r="8419" spans="1:1">
      <c r="A8419" s="45"/>
    </row>
    <row r="8420" spans="1:1">
      <c r="A8420" s="45"/>
    </row>
    <row r="8421" spans="1:1">
      <c r="A8421" s="45"/>
    </row>
    <row r="8422" spans="1:1">
      <c r="A8422" s="45"/>
    </row>
    <row r="8423" spans="1:1">
      <c r="A8423" s="45"/>
    </row>
    <row r="8424" spans="1:1">
      <c r="A8424" s="45"/>
    </row>
    <row r="8425" spans="1:1">
      <c r="A8425" s="45"/>
    </row>
    <row r="8426" spans="1:1">
      <c r="A8426" s="45"/>
    </row>
    <row r="8427" spans="1:1">
      <c r="A8427" s="45"/>
    </row>
    <row r="8428" spans="1:1">
      <c r="A8428" s="45"/>
    </row>
    <row r="8429" spans="1:1">
      <c r="A8429" s="45"/>
    </row>
    <row r="8430" spans="1:1">
      <c r="A8430" s="45"/>
    </row>
    <row r="8431" spans="1:1">
      <c r="A8431" s="45"/>
    </row>
    <row r="8432" spans="1:1">
      <c r="A8432" s="45"/>
    </row>
    <row r="8433" spans="1:1">
      <c r="A8433" s="45"/>
    </row>
    <row r="8434" spans="1:1">
      <c r="A8434" s="45"/>
    </row>
    <row r="8435" spans="1:1">
      <c r="A8435" s="45"/>
    </row>
    <row r="8436" spans="1:1">
      <c r="A8436" s="45"/>
    </row>
    <row r="8437" spans="1:1">
      <c r="A8437" s="45"/>
    </row>
    <row r="8438" spans="1:1">
      <c r="A8438" s="45"/>
    </row>
    <row r="8439" spans="1:1">
      <c r="A8439" s="45"/>
    </row>
    <row r="8440" spans="1:1">
      <c r="A8440" s="45"/>
    </row>
    <row r="8441" spans="1:1">
      <c r="A8441" s="45"/>
    </row>
    <row r="8442" spans="1:1">
      <c r="A8442" s="45"/>
    </row>
    <row r="8443" spans="1:1">
      <c r="A8443" s="45"/>
    </row>
    <row r="8444" spans="1:1">
      <c r="A8444" s="45"/>
    </row>
    <row r="8445" spans="1:1">
      <c r="A8445" s="45"/>
    </row>
    <row r="8446" spans="1:1">
      <c r="A8446" s="45"/>
    </row>
    <row r="8447" spans="1:1">
      <c r="A8447" s="45"/>
    </row>
    <row r="8448" spans="1:1">
      <c r="A8448" s="45"/>
    </row>
    <row r="8449" spans="1:1">
      <c r="A8449" s="45"/>
    </row>
    <row r="8450" spans="1:1">
      <c r="A8450" s="45"/>
    </row>
    <row r="8451" spans="1:1">
      <c r="A8451" s="45"/>
    </row>
    <row r="8452" spans="1:1">
      <c r="A8452" s="45"/>
    </row>
    <row r="8453" spans="1:1">
      <c r="A8453" s="45"/>
    </row>
    <row r="8454" spans="1:1">
      <c r="A8454" s="45"/>
    </row>
    <row r="8455" spans="1:1">
      <c r="A8455" s="45"/>
    </row>
    <row r="8456" spans="1:1">
      <c r="A8456" s="45"/>
    </row>
    <row r="8457" spans="1:1">
      <c r="A8457" s="45"/>
    </row>
    <row r="8458" spans="1:1">
      <c r="A8458" s="45"/>
    </row>
    <row r="8459" spans="1:1">
      <c r="A8459" s="45"/>
    </row>
    <row r="8460" spans="1:1">
      <c r="A8460" s="45"/>
    </row>
    <row r="8461" spans="1:1">
      <c r="A8461" s="45"/>
    </row>
    <row r="8462" spans="1:1">
      <c r="A8462" s="45"/>
    </row>
    <row r="8463" spans="1:1">
      <c r="A8463" s="45"/>
    </row>
    <row r="8464" spans="1:1">
      <c r="A8464" s="45"/>
    </row>
    <row r="8465" spans="1:1">
      <c r="A8465" s="45"/>
    </row>
    <row r="8466" spans="1:1">
      <c r="A8466" s="45"/>
    </row>
    <row r="8467" spans="1:1">
      <c r="A8467" s="45"/>
    </row>
    <row r="8468" spans="1:1">
      <c r="A8468" s="45"/>
    </row>
    <row r="8469" spans="1:1">
      <c r="A8469" s="45"/>
    </row>
    <row r="8470" spans="1:1">
      <c r="A8470" s="45"/>
    </row>
    <row r="8471" spans="1:1">
      <c r="A8471" s="45"/>
    </row>
    <row r="8472" spans="1:1">
      <c r="A8472" s="45"/>
    </row>
    <row r="8473" spans="1:1">
      <c r="A8473" s="45"/>
    </row>
    <row r="8474" spans="1:1">
      <c r="A8474" s="45"/>
    </row>
    <row r="8475" spans="1:1">
      <c r="A8475" s="45"/>
    </row>
    <row r="8476" spans="1:1">
      <c r="A8476" s="45"/>
    </row>
    <row r="8477" spans="1:1">
      <c r="A8477" s="45"/>
    </row>
    <row r="8478" spans="1:1">
      <c r="A8478" s="45"/>
    </row>
    <row r="8479" spans="1:1">
      <c r="A8479" s="45"/>
    </row>
    <row r="8480" spans="1:1">
      <c r="A8480" s="45"/>
    </row>
    <row r="8481" spans="1:1">
      <c r="A8481" s="45"/>
    </row>
    <row r="8482" spans="1:1">
      <c r="A8482" s="45"/>
    </row>
    <row r="8483" spans="1:1">
      <c r="A8483" s="45"/>
    </row>
    <row r="8484" spans="1:1">
      <c r="A8484" s="45"/>
    </row>
    <row r="8485" spans="1:1">
      <c r="A8485" s="45"/>
    </row>
    <row r="8486" spans="1:1">
      <c r="A8486" s="45"/>
    </row>
    <row r="8487" spans="1:1">
      <c r="A8487" s="45"/>
    </row>
    <row r="8488" spans="1:1">
      <c r="A8488" s="45"/>
    </row>
    <row r="8489" spans="1:1">
      <c r="A8489" s="45"/>
    </row>
    <row r="8490" spans="1:1">
      <c r="A8490" s="45"/>
    </row>
    <row r="8491" spans="1:1">
      <c r="A8491" s="45"/>
    </row>
    <row r="8492" spans="1:1">
      <c r="A8492" s="45"/>
    </row>
    <row r="8493" spans="1:1">
      <c r="A8493" s="45"/>
    </row>
    <row r="8494" spans="1:1">
      <c r="A8494" s="45"/>
    </row>
    <row r="8495" spans="1:1">
      <c r="A8495" s="45"/>
    </row>
    <row r="8496" spans="1:1">
      <c r="A8496" s="45"/>
    </row>
    <row r="8497" spans="1:1">
      <c r="A8497" s="45"/>
    </row>
    <row r="8498" spans="1:1">
      <c r="A8498" s="45"/>
    </row>
    <row r="8499" spans="1:1">
      <c r="A8499" s="45"/>
    </row>
    <row r="8500" spans="1:1">
      <c r="A8500" s="45"/>
    </row>
    <row r="8501" spans="1:1">
      <c r="A8501" s="45"/>
    </row>
    <row r="8502" spans="1:1">
      <c r="A8502" s="45"/>
    </row>
    <row r="8503" spans="1:1">
      <c r="A8503" s="45"/>
    </row>
    <row r="8504" spans="1:1">
      <c r="A8504" s="45"/>
    </row>
    <row r="8505" spans="1:1">
      <c r="A8505" s="45"/>
    </row>
    <row r="8506" spans="1:1">
      <c r="A8506" s="45"/>
    </row>
    <row r="8507" spans="1:1">
      <c r="A8507" s="45"/>
    </row>
    <row r="8508" spans="1:1">
      <c r="A8508" s="45"/>
    </row>
    <row r="8509" spans="1:1">
      <c r="A8509" s="45"/>
    </row>
    <row r="8510" spans="1:1">
      <c r="A8510" s="45"/>
    </row>
    <row r="8511" spans="1:1">
      <c r="A8511" s="45"/>
    </row>
    <row r="8512" spans="1:1">
      <c r="A8512" s="45"/>
    </row>
    <row r="8513" spans="1:1">
      <c r="A8513" s="45"/>
    </row>
    <row r="8514" spans="1:1">
      <c r="A8514" s="45"/>
    </row>
    <row r="8515" spans="1:1">
      <c r="A8515" s="45"/>
    </row>
    <row r="8516" spans="1:1">
      <c r="A8516" s="45"/>
    </row>
    <row r="8517" spans="1:1">
      <c r="A8517" s="45"/>
    </row>
    <row r="8518" spans="1:1">
      <c r="A8518" s="45"/>
    </row>
    <row r="8519" spans="1:1">
      <c r="A8519" s="45"/>
    </row>
    <row r="8520" spans="1:1">
      <c r="A8520" s="45"/>
    </row>
    <row r="8521" spans="1:1">
      <c r="A8521" s="45"/>
    </row>
    <row r="8522" spans="1:1">
      <c r="A8522" s="45"/>
    </row>
    <row r="8523" spans="1:1">
      <c r="A8523" s="45"/>
    </row>
    <row r="8524" spans="1:1">
      <c r="A8524" s="45"/>
    </row>
    <row r="8525" spans="1:1">
      <c r="A8525" s="45"/>
    </row>
    <row r="8526" spans="1:1">
      <c r="A8526" s="45"/>
    </row>
    <row r="8527" spans="1:1">
      <c r="A8527" s="45"/>
    </row>
    <row r="8528" spans="1:1">
      <c r="A8528" s="45"/>
    </row>
    <row r="8529" spans="1:1">
      <c r="A8529" s="45"/>
    </row>
    <row r="8530" spans="1:1">
      <c r="A8530" s="45"/>
    </row>
    <row r="8531" spans="1:1">
      <c r="A8531" s="45"/>
    </row>
    <row r="8532" spans="1:1">
      <c r="A8532" s="45"/>
    </row>
    <row r="8533" spans="1:1">
      <c r="A8533" s="45"/>
    </row>
    <row r="8534" spans="1:1">
      <c r="A8534" s="45"/>
    </row>
    <row r="8535" spans="1:1">
      <c r="A8535" s="45"/>
    </row>
    <row r="8536" spans="1:1">
      <c r="A8536" s="45"/>
    </row>
    <row r="8537" spans="1:1">
      <c r="A8537" s="45"/>
    </row>
    <row r="8538" spans="1:1">
      <c r="A8538" s="45"/>
    </row>
    <row r="8539" spans="1:1">
      <c r="A8539" s="45"/>
    </row>
    <row r="8540" spans="1:1">
      <c r="A8540" s="45"/>
    </row>
    <row r="8541" spans="1:1">
      <c r="A8541" s="45"/>
    </row>
    <row r="8542" spans="1:1">
      <c r="A8542" s="45"/>
    </row>
    <row r="8543" spans="1:1">
      <c r="A8543" s="45"/>
    </row>
    <row r="8544" spans="1:1">
      <c r="A8544" s="45"/>
    </row>
    <row r="8545" spans="1:1">
      <c r="A8545" s="45"/>
    </row>
    <row r="8546" spans="1:1">
      <c r="A8546" s="45"/>
    </row>
    <row r="8547" spans="1:1">
      <c r="A8547" s="45"/>
    </row>
    <row r="8548" spans="1:1">
      <c r="A8548" s="45"/>
    </row>
    <row r="8549" spans="1:1">
      <c r="A8549" s="45"/>
    </row>
    <row r="8550" spans="1:1">
      <c r="A8550" s="45"/>
    </row>
    <row r="8551" spans="1:1">
      <c r="A8551" s="45"/>
    </row>
    <row r="8552" spans="1:1">
      <c r="A8552" s="45"/>
    </row>
    <row r="8553" spans="1:1">
      <c r="A8553" s="45"/>
    </row>
    <row r="8554" spans="1:1">
      <c r="A8554" s="45"/>
    </row>
    <row r="8555" spans="1:1">
      <c r="A8555" s="45"/>
    </row>
    <row r="8556" spans="1:1">
      <c r="A8556" s="45"/>
    </row>
    <row r="8557" spans="1:1">
      <c r="A8557" s="45"/>
    </row>
    <row r="8558" spans="1:1">
      <c r="A8558" s="45"/>
    </row>
    <row r="8559" spans="1:1">
      <c r="A8559" s="45"/>
    </row>
    <row r="8560" spans="1:1">
      <c r="A8560" s="45"/>
    </row>
    <row r="8561" spans="1:1">
      <c r="A8561" s="45"/>
    </row>
    <row r="8562" spans="1:1">
      <c r="A8562" s="45"/>
    </row>
    <row r="8563" spans="1:1">
      <c r="A8563" s="45"/>
    </row>
    <row r="8564" spans="1:1">
      <c r="A8564" s="45"/>
    </row>
    <row r="8565" spans="1:1">
      <c r="A8565" s="45"/>
    </row>
    <row r="8566" spans="1:1">
      <c r="A8566" s="45"/>
    </row>
    <row r="8567" spans="1:1">
      <c r="A8567" s="45"/>
    </row>
    <row r="8568" spans="1:1">
      <c r="A8568" s="45"/>
    </row>
    <row r="8569" spans="1:1">
      <c r="A8569" s="45"/>
    </row>
    <row r="8570" spans="1:1">
      <c r="A8570" s="45"/>
    </row>
    <row r="8571" spans="1:1">
      <c r="A8571" s="45"/>
    </row>
    <row r="8572" spans="1:1">
      <c r="A8572" s="45"/>
    </row>
    <row r="8573" spans="1:1">
      <c r="A8573" s="45"/>
    </row>
    <row r="8574" spans="1:1">
      <c r="A8574" s="45"/>
    </row>
    <row r="8575" spans="1:1">
      <c r="A8575" s="45"/>
    </row>
    <row r="8576" spans="1:1">
      <c r="A8576" s="45"/>
    </row>
    <row r="8577" spans="1:1">
      <c r="A8577" s="45"/>
    </row>
    <row r="8578" spans="1:1">
      <c r="A8578" s="45"/>
    </row>
    <row r="8579" spans="1:1">
      <c r="A8579" s="45"/>
    </row>
    <row r="8580" spans="1:1">
      <c r="A8580" s="45"/>
    </row>
    <row r="8581" spans="1:1">
      <c r="A8581" s="45"/>
    </row>
    <row r="8582" spans="1:1">
      <c r="A8582" s="45"/>
    </row>
    <row r="8583" spans="1:1">
      <c r="A8583" s="45"/>
    </row>
    <row r="8584" spans="1:1">
      <c r="A8584" s="45"/>
    </row>
    <row r="8585" spans="1:1">
      <c r="A8585" s="45"/>
    </row>
    <row r="8586" spans="1:1">
      <c r="A8586" s="45"/>
    </row>
    <row r="8587" spans="1:1">
      <c r="A8587" s="45"/>
    </row>
    <row r="8588" spans="1:1">
      <c r="A8588" s="45"/>
    </row>
    <row r="8589" spans="1:1">
      <c r="A8589" s="45"/>
    </row>
    <row r="8590" spans="1:1">
      <c r="A8590" s="45"/>
    </row>
    <row r="8591" spans="1:1">
      <c r="A8591" s="45"/>
    </row>
    <row r="8592" spans="1:1">
      <c r="A8592" s="45"/>
    </row>
    <row r="8593" spans="1:1">
      <c r="A8593" s="45"/>
    </row>
    <row r="8594" spans="1:1">
      <c r="A8594" s="45"/>
    </row>
    <row r="8595" spans="1:1">
      <c r="A8595" s="45"/>
    </row>
    <row r="8596" spans="1:1">
      <c r="A8596" s="45"/>
    </row>
    <row r="8597" spans="1:1">
      <c r="A8597" s="45"/>
    </row>
    <row r="8598" spans="1:1">
      <c r="A8598" s="45"/>
    </row>
    <row r="8599" spans="1:1">
      <c r="A8599" s="45"/>
    </row>
    <row r="8600" spans="1:1">
      <c r="A8600" s="45"/>
    </row>
    <row r="8601" spans="1:1">
      <c r="A8601" s="45"/>
    </row>
    <row r="8602" spans="1:1">
      <c r="A8602" s="45"/>
    </row>
    <row r="8603" spans="1:1">
      <c r="A8603" s="45"/>
    </row>
    <row r="8604" spans="1:1">
      <c r="A8604" s="45"/>
    </row>
    <row r="8605" spans="1:1">
      <c r="A8605" s="45"/>
    </row>
    <row r="8606" spans="1:1">
      <c r="A8606" s="45"/>
    </row>
    <row r="8607" spans="1:1">
      <c r="A8607" s="45"/>
    </row>
    <row r="8608" spans="1:1">
      <c r="A8608" s="45"/>
    </row>
    <row r="8609" spans="1:1">
      <c r="A8609" s="45"/>
    </row>
    <row r="8610" spans="1:1">
      <c r="A8610" s="45"/>
    </row>
    <row r="8611" spans="1:1">
      <c r="A8611" s="45"/>
    </row>
    <row r="8612" spans="1:1">
      <c r="A8612" s="45"/>
    </row>
    <row r="8613" spans="1:1">
      <c r="A8613" s="45"/>
    </row>
    <row r="8614" spans="1:1">
      <c r="A8614" s="45"/>
    </row>
    <row r="8615" spans="1:1">
      <c r="A8615" s="45"/>
    </row>
    <row r="8616" spans="1:1">
      <c r="A8616" s="45"/>
    </row>
    <row r="8617" spans="1:1">
      <c r="A8617" s="45"/>
    </row>
    <row r="8618" spans="1:1">
      <c r="A8618" s="45"/>
    </row>
    <row r="8619" spans="1:1">
      <c r="A8619" s="45"/>
    </row>
    <row r="8620" spans="1:1">
      <c r="A8620" s="45"/>
    </row>
    <row r="8621" spans="1:1">
      <c r="A8621" s="45"/>
    </row>
    <row r="8622" spans="1:1">
      <c r="A8622" s="45"/>
    </row>
    <row r="8623" spans="1:1">
      <c r="A8623" s="45"/>
    </row>
    <row r="8624" spans="1:1">
      <c r="A8624" s="45"/>
    </row>
    <row r="8625" spans="1:1">
      <c r="A8625" s="45"/>
    </row>
    <row r="8626" spans="1:1">
      <c r="A8626" s="45"/>
    </row>
    <row r="8627" spans="1:1">
      <c r="A8627" s="45"/>
    </row>
    <row r="8628" spans="1:1">
      <c r="A8628" s="45"/>
    </row>
    <row r="8629" spans="1:1">
      <c r="A8629" s="45"/>
    </row>
    <row r="8630" spans="1:1">
      <c r="A8630" s="45"/>
    </row>
    <row r="8631" spans="1:1">
      <c r="A8631" s="45"/>
    </row>
    <row r="8632" spans="1:1">
      <c r="A8632" s="45"/>
    </row>
    <row r="8633" spans="1:1">
      <c r="A8633" s="45"/>
    </row>
    <row r="8634" spans="1:1">
      <c r="A8634" s="45"/>
    </row>
    <row r="8635" spans="1:1">
      <c r="A8635" s="45"/>
    </row>
    <row r="8636" spans="1:1">
      <c r="A8636" s="45"/>
    </row>
    <row r="8637" spans="1:1">
      <c r="A8637" s="45"/>
    </row>
    <row r="8638" spans="1:1">
      <c r="A8638" s="45"/>
    </row>
    <row r="8639" spans="1:1">
      <c r="A8639" s="45"/>
    </row>
    <row r="8640" spans="1:1">
      <c r="A8640" s="45"/>
    </row>
    <row r="8641" spans="1:1">
      <c r="A8641" s="45"/>
    </row>
    <row r="8642" spans="1:1">
      <c r="A8642" s="45"/>
    </row>
    <row r="8643" spans="1:1">
      <c r="A8643" s="45"/>
    </row>
    <row r="8644" spans="1:1">
      <c r="A8644" s="45"/>
    </row>
    <row r="8645" spans="1:1">
      <c r="A8645" s="45"/>
    </row>
    <row r="8646" spans="1:1">
      <c r="A8646" s="45"/>
    </row>
    <row r="8647" spans="1:1">
      <c r="A8647" s="45"/>
    </row>
    <row r="8648" spans="1:1">
      <c r="A8648" s="45"/>
    </row>
    <row r="8649" spans="1:1">
      <c r="A8649" s="45"/>
    </row>
    <row r="8650" spans="1:1">
      <c r="A8650" s="45"/>
    </row>
    <row r="8651" spans="1:1">
      <c r="A8651" s="45"/>
    </row>
    <row r="8652" spans="1:1">
      <c r="A8652" s="45"/>
    </row>
    <row r="8653" spans="1:1">
      <c r="A8653" s="45"/>
    </row>
    <row r="8654" spans="1:1">
      <c r="A8654" s="45"/>
    </row>
    <row r="8655" spans="1:1">
      <c r="A8655" s="45"/>
    </row>
    <row r="8656" spans="1:1">
      <c r="A8656" s="45"/>
    </row>
    <row r="8657" spans="1:1">
      <c r="A8657" s="45"/>
    </row>
    <row r="8658" spans="1:1">
      <c r="A8658" s="45"/>
    </row>
    <row r="8659" spans="1:1">
      <c r="A8659" s="45"/>
    </row>
    <row r="8660" spans="1:1">
      <c r="A8660" s="45"/>
    </row>
    <row r="8661" spans="1:1">
      <c r="A8661" s="45"/>
    </row>
    <row r="8662" spans="1:1">
      <c r="A8662" s="45"/>
    </row>
    <row r="8663" spans="1:1">
      <c r="A8663" s="45"/>
    </row>
    <row r="8664" spans="1:1">
      <c r="A8664" s="45"/>
    </row>
    <row r="8665" spans="1:1">
      <c r="A8665" s="45"/>
    </row>
    <row r="8666" spans="1:1">
      <c r="A8666" s="45"/>
    </row>
    <row r="8667" spans="1:1">
      <c r="A8667" s="45"/>
    </row>
    <row r="8668" spans="1:1">
      <c r="A8668" s="45"/>
    </row>
    <row r="8669" spans="1:1">
      <c r="A8669" s="45"/>
    </row>
    <row r="8670" spans="1:1">
      <c r="A8670" s="45"/>
    </row>
    <row r="8671" spans="1:1">
      <c r="A8671" s="45"/>
    </row>
    <row r="8672" spans="1:1">
      <c r="A8672" s="45"/>
    </row>
    <row r="8673" spans="1:1">
      <c r="A8673" s="45"/>
    </row>
    <row r="8674" spans="1:1">
      <c r="A8674" s="45"/>
    </row>
    <row r="8675" spans="1:1">
      <c r="A8675" s="45"/>
    </row>
    <row r="8676" spans="1:1">
      <c r="A8676" s="45"/>
    </row>
    <row r="8677" spans="1:1">
      <c r="A8677" s="45"/>
    </row>
    <row r="8678" spans="1:1">
      <c r="A8678" s="45"/>
    </row>
    <row r="8679" spans="1:1">
      <c r="A8679" s="45"/>
    </row>
    <row r="8680" spans="1:1">
      <c r="A8680" s="45"/>
    </row>
    <row r="8681" spans="1:1">
      <c r="A8681" s="45"/>
    </row>
    <row r="8682" spans="1:1">
      <c r="A8682" s="45"/>
    </row>
    <row r="8683" spans="1:1">
      <c r="A8683" s="45"/>
    </row>
    <row r="8684" spans="1:1">
      <c r="A8684" s="45"/>
    </row>
    <row r="8685" spans="1:1">
      <c r="A8685" s="45"/>
    </row>
    <row r="8686" spans="1:1">
      <c r="A8686" s="45"/>
    </row>
    <row r="8687" spans="1:1">
      <c r="A8687" s="45"/>
    </row>
    <row r="8688" spans="1:1">
      <c r="A8688" s="45"/>
    </row>
    <row r="8689" spans="1:1">
      <c r="A8689" s="45"/>
    </row>
    <row r="8690" spans="1:1">
      <c r="A8690" s="45"/>
    </row>
    <row r="8691" spans="1:1">
      <c r="A8691" s="45"/>
    </row>
    <row r="8692" spans="1:1">
      <c r="A8692" s="45"/>
    </row>
    <row r="8693" spans="1:1">
      <c r="A8693" s="45"/>
    </row>
    <row r="8694" spans="1:1">
      <c r="A8694" s="45"/>
    </row>
    <row r="8695" spans="1:1">
      <c r="A8695" s="45"/>
    </row>
    <row r="8696" spans="1:1">
      <c r="A8696" s="45"/>
    </row>
    <row r="8697" spans="1:1">
      <c r="A8697" s="45"/>
    </row>
    <row r="8698" spans="1:1">
      <c r="A8698" s="45"/>
    </row>
    <row r="8699" spans="1:1">
      <c r="A8699" s="45"/>
    </row>
    <row r="8700" spans="1:1">
      <c r="A8700" s="45"/>
    </row>
    <row r="8701" spans="1:1">
      <c r="A8701" s="45"/>
    </row>
    <row r="8702" spans="1:1">
      <c r="A8702" s="45"/>
    </row>
    <row r="8703" spans="1:1">
      <c r="A8703" s="45"/>
    </row>
    <row r="8704" spans="1:1">
      <c r="A8704" s="45"/>
    </row>
    <row r="8705" spans="1:1">
      <c r="A8705" s="45"/>
    </row>
    <row r="8706" spans="1:1">
      <c r="A8706" s="45"/>
    </row>
    <row r="8707" spans="1:1">
      <c r="A8707" s="45"/>
    </row>
    <row r="8708" spans="1:1">
      <c r="A8708" s="45"/>
    </row>
    <row r="8709" spans="1:1">
      <c r="A8709" s="45"/>
    </row>
    <row r="8710" spans="1:1">
      <c r="A8710" s="45"/>
    </row>
    <row r="8711" spans="1:1">
      <c r="A8711" s="45"/>
    </row>
    <row r="8712" spans="1:1">
      <c r="A8712" s="45"/>
    </row>
    <row r="8713" spans="1:1">
      <c r="A8713" s="45"/>
    </row>
    <row r="8714" spans="1:1">
      <c r="A8714" s="45"/>
    </row>
    <row r="8715" spans="1:1">
      <c r="A8715" s="45"/>
    </row>
    <row r="8716" spans="1:1">
      <c r="A8716" s="45"/>
    </row>
    <row r="8717" spans="1:1">
      <c r="A8717" s="45"/>
    </row>
    <row r="8718" spans="1:1">
      <c r="A8718" s="45"/>
    </row>
    <row r="8719" spans="1:1">
      <c r="A8719" s="45"/>
    </row>
    <row r="8720" spans="1:1">
      <c r="A8720" s="45"/>
    </row>
    <row r="8721" spans="1:1">
      <c r="A8721" s="45"/>
    </row>
    <row r="8722" spans="1:1">
      <c r="A8722" s="45"/>
    </row>
    <row r="8723" spans="1:1">
      <c r="A8723" s="45"/>
    </row>
    <row r="8724" spans="1:1">
      <c r="A8724" s="45"/>
    </row>
    <row r="8725" spans="1:1">
      <c r="A8725" s="45"/>
    </row>
    <row r="8726" spans="1:1">
      <c r="A8726" s="45"/>
    </row>
    <row r="8727" spans="1:1">
      <c r="A8727" s="45"/>
    </row>
    <row r="8728" spans="1:1">
      <c r="A8728" s="45"/>
    </row>
    <row r="8729" spans="1:1">
      <c r="A8729" s="45"/>
    </row>
    <row r="8730" spans="1:1">
      <c r="A8730" s="45"/>
    </row>
    <row r="8731" spans="1:1">
      <c r="A8731" s="45"/>
    </row>
    <row r="8732" spans="1:1">
      <c r="A8732" s="45"/>
    </row>
    <row r="8733" spans="1:1">
      <c r="A8733" s="45"/>
    </row>
    <row r="8734" spans="1:1">
      <c r="A8734" s="45"/>
    </row>
    <row r="8735" spans="1:1">
      <c r="A8735" s="45"/>
    </row>
    <row r="8736" spans="1:1">
      <c r="A8736" s="45"/>
    </row>
    <row r="8737" spans="1:1">
      <c r="A8737" s="45"/>
    </row>
    <row r="8738" spans="1:1">
      <c r="A8738" s="45"/>
    </row>
    <row r="8739" spans="1:1">
      <c r="A8739" s="45"/>
    </row>
    <row r="8740" spans="1:1">
      <c r="A8740" s="45"/>
    </row>
    <row r="8741" spans="1:1">
      <c r="A8741" s="45"/>
    </row>
    <row r="8742" spans="1:1">
      <c r="A8742" s="45"/>
    </row>
    <row r="8743" spans="1:1">
      <c r="A8743" s="45"/>
    </row>
    <row r="8744" spans="1:1">
      <c r="A8744" s="45"/>
    </row>
    <row r="8745" spans="1:1">
      <c r="A8745" s="45"/>
    </row>
    <row r="8746" spans="1:1">
      <c r="A8746" s="45"/>
    </row>
    <row r="8747" spans="1:1">
      <c r="A8747" s="45"/>
    </row>
    <row r="8748" spans="1:1">
      <c r="A8748" s="45"/>
    </row>
    <row r="8749" spans="1:1">
      <c r="A8749" s="45"/>
    </row>
    <row r="8750" spans="1:1">
      <c r="A8750" s="45"/>
    </row>
    <row r="8751" spans="1:1">
      <c r="A8751" s="45"/>
    </row>
    <row r="8752" spans="1:1">
      <c r="A8752" s="45"/>
    </row>
    <row r="8753" spans="1:1">
      <c r="A8753" s="45"/>
    </row>
    <row r="8754" spans="1:1">
      <c r="A8754" s="45"/>
    </row>
    <row r="8755" spans="1:1">
      <c r="A8755" s="45"/>
    </row>
    <row r="8756" spans="1:1">
      <c r="A8756" s="45"/>
    </row>
    <row r="8757" spans="1:1">
      <c r="A8757" s="45"/>
    </row>
    <row r="8758" spans="1:1">
      <c r="A8758" s="45"/>
    </row>
    <row r="8759" spans="1:1">
      <c r="A8759" s="45"/>
    </row>
    <row r="8760" spans="1:1">
      <c r="A8760" s="45"/>
    </row>
    <row r="8761" spans="1:1">
      <c r="A8761" s="45"/>
    </row>
    <row r="8762" spans="1:1">
      <c r="A8762" s="45"/>
    </row>
    <row r="8763" spans="1:1">
      <c r="A8763" s="45"/>
    </row>
    <row r="8764" spans="1:1">
      <c r="A8764" s="45"/>
    </row>
    <row r="8765" spans="1:1">
      <c r="A8765" s="45"/>
    </row>
    <row r="8766" spans="1:1">
      <c r="A8766" s="45"/>
    </row>
    <row r="8767" spans="1:1">
      <c r="A8767" s="45"/>
    </row>
    <row r="8768" spans="1:1">
      <c r="A8768" s="45"/>
    </row>
    <row r="8769" spans="1:1">
      <c r="A8769" s="45"/>
    </row>
    <row r="8770" spans="1:1">
      <c r="A8770" s="45"/>
    </row>
    <row r="8771" spans="1:1">
      <c r="A8771" s="45"/>
    </row>
    <row r="8772" spans="1:1">
      <c r="A8772" s="45"/>
    </row>
    <row r="8773" spans="1:1">
      <c r="A8773" s="45"/>
    </row>
    <row r="8774" spans="1:1">
      <c r="A8774" s="45"/>
    </row>
    <row r="8775" spans="1:1">
      <c r="A8775" s="45"/>
    </row>
    <row r="8776" spans="1:1">
      <c r="A8776" s="45"/>
    </row>
    <row r="8777" spans="1:1">
      <c r="A8777" s="45"/>
    </row>
    <row r="8778" spans="1:1">
      <c r="A8778" s="45"/>
    </row>
    <row r="8779" spans="1:1">
      <c r="A8779" s="45"/>
    </row>
    <row r="8780" spans="1:1">
      <c r="A8780" s="45"/>
    </row>
    <row r="8781" spans="1:1">
      <c r="A8781" s="45"/>
    </row>
    <row r="8782" spans="1:1">
      <c r="A8782" s="45"/>
    </row>
    <row r="8783" spans="1:1">
      <c r="A8783" s="45"/>
    </row>
    <row r="8784" spans="1:1">
      <c r="A8784" s="45"/>
    </row>
    <row r="8785" spans="1:1">
      <c r="A8785" s="45"/>
    </row>
    <row r="8786" spans="1:1">
      <c r="A8786" s="45"/>
    </row>
    <row r="8787" spans="1:1">
      <c r="A8787" s="45"/>
    </row>
    <row r="8788" spans="1:1">
      <c r="A8788" s="45"/>
    </row>
    <row r="8789" spans="1:1">
      <c r="A8789" s="45"/>
    </row>
    <row r="8790" spans="1:1">
      <c r="A8790" s="45"/>
    </row>
    <row r="8791" spans="1:1">
      <c r="A8791" s="45"/>
    </row>
    <row r="8792" spans="1:1">
      <c r="A8792" s="45"/>
    </row>
    <row r="8793" spans="1:1">
      <c r="A8793" s="45"/>
    </row>
    <row r="8794" spans="1:1">
      <c r="A8794" s="45"/>
    </row>
    <row r="8795" spans="1:1">
      <c r="A8795" s="45"/>
    </row>
    <row r="8796" spans="1:1">
      <c r="A8796" s="45"/>
    </row>
    <row r="8797" spans="1:1">
      <c r="A8797" s="45"/>
    </row>
    <row r="8798" spans="1:1">
      <c r="A8798" s="45"/>
    </row>
    <row r="8799" spans="1:1">
      <c r="A8799" s="45"/>
    </row>
    <row r="8800" spans="1:1">
      <c r="A8800" s="45"/>
    </row>
    <row r="8801" spans="1:1">
      <c r="A8801" s="45"/>
    </row>
    <row r="8802" spans="1:1">
      <c r="A8802" s="45"/>
    </row>
    <row r="8803" spans="1:1">
      <c r="A8803" s="45"/>
    </row>
    <row r="8804" spans="1:1">
      <c r="A8804" s="45"/>
    </row>
    <row r="8805" spans="1:1">
      <c r="A8805" s="45"/>
    </row>
    <row r="8806" spans="1:1">
      <c r="A8806" s="45"/>
    </row>
    <row r="8807" spans="1:1">
      <c r="A8807" s="45"/>
    </row>
    <row r="8808" spans="1:1">
      <c r="A8808" s="45"/>
    </row>
    <row r="8809" spans="1:1">
      <c r="A8809" s="45"/>
    </row>
    <row r="8810" spans="1:1">
      <c r="A8810" s="45"/>
    </row>
    <row r="8811" spans="1:1">
      <c r="A8811" s="45"/>
    </row>
    <row r="8812" spans="1:1">
      <c r="A8812" s="45"/>
    </row>
    <row r="8813" spans="1:1">
      <c r="A8813" s="45"/>
    </row>
    <row r="8814" spans="1:1">
      <c r="A8814" s="45"/>
    </row>
    <row r="8815" spans="1:1">
      <c r="A8815" s="45"/>
    </row>
    <row r="8816" spans="1:1">
      <c r="A8816" s="45"/>
    </row>
    <row r="8817" spans="1:1">
      <c r="A8817" s="45"/>
    </row>
    <row r="8818" spans="1:1">
      <c r="A8818" s="45"/>
    </row>
    <row r="8819" spans="1:1">
      <c r="A8819" s="45"/>
    </row>
    <row r="8820" spans="1:1">
      <c r="A8820" s="45"/>
    </row>
    <row r="8821" spans="1:1">
      <c r="A8821" s="45"/>
    </row>
    <row r="8822" spans="1:1">
      <c r="A8822" s="45"/>
    </row>
    <row r="8823" spans="1:1">
      <c r="A8823" s="45"/>
    </row>
    <row r="8824" spans="1:1">
      <c r="A8824" s="45"/>
    </row>
    <row r="8825" spans="1:1">
      <c r="A8825" s="45"/>
    </row>
    <row r="8826" spans="1:1">
      <c r="A8826" s="45"/>
    </row>
    <row r="8827" spans="1:1">
      <c r="A8827" s="45"/>
    </row>
    <row r="8828" spans="1:1">
      <c r="A8828" s="45"/>
    </row>
    <row r="8829" spans="1:1">
      <c r="A8829" s="45"/>
    </row>
    <row r="8830" spans="1:1">
      <c r="A8830" s="45"/>
    </row>
    <row r="8831" spans="1:1">
      <c r="A8831" s="45"/>
    </row>
    <row r="8832" spans="1:1">
      <c r="A8832" s="45"/>
    </row>
    <row r="8833" spans="1:1">
      <c r="A8833" s="45"/>
    </row>
    <row r="8834" spans="1:1">
      <c r="A8834" s="45"/>
    </row>
    <row r="8835" spans="1:1">
      <c r="A8835" s="45"/>
    </row>
    <row r="8836" spans="1:1">
      <c r="A8836" s="45"/>
    </row>
    <row r="8837" spans="1:1">
      <c r="A8837" s="45"/>
    </row>
    <row r="8838" spans="1:1">
      <c r="A8838" s="45"/>
    </row>
    <row r="8839" spans="1:1">
      <c r="A8839" s="45"/>
    </row>
    <row r="8840" spans="1:1">
      <c r="A8840" s="45"/>
    </row>
    <row r="8841" spans="1:1">
      <c r="A8841" s="45"/>
    </row>
    <row r="8842" spans="1:1">
      <c r="A8842" s="45"/>
    </row>
    <row r="8843" spans="1:1">
      <c r="A8843" s="45"/>
    </row>
    <row r="8844" spans="1:1">
      <c r="A8844" s="45"/>
    </row>
    <row r="8845" spans="1:1">
      <c r="A8845" s="45"/>
    </row>
    <row r="8846" spans="1:1">
      <c r="A8846" s="45"/>
    </row>
    <row r="8847" spans="1:1">
      <c r="A8847" s="45"/>
    </row>
    <row r="8848" spans="1:1">
      <c r="A8848" s="45"/>
    </row>
    <row r="8849" spans="1:1">
      <c r="A8849" s="45"/>
    </row>
    <row r="8850" spans="1:1">
      <c r="A8850" s="45"/>
    </row>
    <row r="8851" spans="1:1">
      <c r="A8851" s="45"/>
    </row>
    <row r="8852" spans="1:1">
      <c r="A8852" s="45"/>
    </row>
    <row r="8853" spans="1:1">
      <c r="A8853" s="45"/>
    </row>
    <row r="8854" spans="1:1">
      <c r="A8854" s="45"/>
    </row>
    <row r="8855" spans="1:1">
      <c r="A8855" s="45"/>
    </row>
    <row r="8856" spans="1:1">
      <c r="A8856" s="45"/>
    </row>
    <row r="8857" spans="1:1">
      <c r="A8857" s="45"/>
    </row>
    <row r="8858" spans="1:1">
      <c r="A8858" s="45"/>
    </row>
    <row r="8859" spans="1:1">
      <c r="A8859" s="45"/>
    </row>
    <row r="8860" spans="1:1">
      <c r="A8860" s="45"/>
    </row>
    <row r="8861" spans="1:1">
      <c r="A8861" s="45"/>
    </row>
    <row r="8862" spans="1:1">
      <c r="A8862" s="45"/>
    </row>
    <row r="8863" spans="1:1">
      <c r="A8863" s="45"/>
    </row>
    <row r="8864" spans="1:1">
      <c r="A8864" s="45"/>
    </row>
    <row r="8865" spans="1:1">
      <c r="A8865" s="45"/>
    </row>
    <row r="8866" spans="1:1">
      <c r="A8866" s="45"/>
    </row>
    <row r="8867" spans="1:1">
      <c r="A8867" s="45"/>
    </row>
    <row r="8868" spans="1:1">
      <c r="A8868" s="45"/>
    </row>
    <row r="8869" spans="1:1">
      <c r="A8869" s="45"/>
    </row>
    <row r="8870" spans="1:1">
      <c r="A8870" s="45"/>
    </row>
    <row r="8871" spans="1:1">
      <c r="A8871" s="45"/>
    </row>
    <row r="8872" spans="1:1">
      <c r="A8872" s="45"/>
    </row>
    <row r="8873" spans="1:1">
      <c r="A8873" s="45"/>
    </row>
    <row r="8874" spans="1:1">
      <c r="A8874" s="45"/>
    </row>
    <row r="8875" spans="1:1">
      <c r="A8875" s="45"/>
    </row>
    <row r="8876" spans="1:1">
      <c r="A8876" s="45"/>
    </row>
    <row r="8877" spans="1:1">
      <c r="A8877" s="45"/>
    </row>
    <row r="8878" spans="1:1">
      <c r="A8878" s="45"/>
    </row>
    <row r="8879" spans="1:1">
      <c r="A8879" s="45"/>
    </row>
    <row r="8880" spans="1:1">
      <c r="A8880" s="45"/>
    </row>
    <row r="8881" spans="1:1">
      <c r="A8881" s="45"/>
    </row>
    <row r="8882" spans="1:1">
      <c r="A8882" s="45"/>
    </row>
    <row r="8883" spans="1:1">
      <c r="A8883" s="45"/>
    </row>
    <row r="8884" spans="1:1">
      <c r="A8884" s="45"/>
    </row>
    <row r="8885" spans="1:1">
      <c r="A8885" s="45"/>
    </row>
    <row r="8886" spans="1:1">
      <c r="A8886" s="45"/>
    </row>
    <row r="8887" spans="1:1">
      <c r="A8887" s="45"/>
    </row>
    <row r="8888" spans="1:1">
      <c r="A8888" s="45"/>
    </row>
    <row r="8889" spans="1:1">
      <c r="A8889" s="45"/>
    </row>
    <row r="8890" spans="1:1">
      <c r="A8890" s="45"/>
    </row>
    <row r="8891" spans="1:1">
      <c r="A8891" s="45"/>
    </row>
    <row r="8892" spans="1:1">
      <c r="A8892" s="45"/>
    </row>
    <row r="8893" spans="1:1">
      <c r="A8893" s="45"/>
    </row>
    <row r="8894" spans="1:1">
      <c r="A8894" s="45"/>
    </row>
    <row r="8895" spans="1:1">
      <c r="A8895" s="45"/>
    </row>
    <row r="8896" spans="1:1">
      <c r="A8896" s="45"/>
    </row>
    <row r="8897" spans="1:1">
      <c r="A8897" s="45"/>
    </row>
    <row r="8898" spans="1:1">
      <c r="A8898" s="45"/>
    </row>
    <row r="8899" spans="1:1">
      <c r="A8899" s="45"/>
    </row>
    <row r="8900" spans="1:1">
      <c r="A8900" s="45"/>
    </row>
    <row r="8901" spans="1:1">
      <c r="A8901" s="45"/>
    </row>
    <row r="8902" spans="1:1">
      <c r="A8902" s="45"/>
    </row>
    <row r="8903" spans="1:1">
      <c r="A8903" s="45"/>
    </row>
    <row r="8904" spans="1:1">
      <c r="A8904" s="45"/>
    </row>
    <row r="8905" spans="1:1">
      <c r="A8905" s="45"/>
    </row>
    <row r="8906" spans="1:1">
      <c r="A8906" s="45"/>
    </row>
    <row r="8907" spans="1:1">
      <c r="A8907" s="45"/>
    </row>
    <row r="8908" spans="1:1">
      <c r="A8908" s="45"/>
    </row>
    <row r="8909" spans="1:1">
      <c r="A8909" s="45"/>
    </row>
    <row r="8910" spans="1:1">
      <c r="A8910" s="45"/>
    </row>
    <row r="8911" spans="1:1">
      <c r="A8911" s="45"/>
    </row>
    <row r="8912" spans="1:1">
      <c r="A8912" s="45"/>
    </row>
    <row r="8913" spans="1:1">
      <c r="A8913" s="45"/>
    </row>
    <row r="8914" spans="1:1">
      <c r="A8914" s="45"/>
    </row>
    <row r="8915" spans="1:1">
      <c r="A8915" s="45"/>
    </row>
    <row r="8916" spans="1:1">
      <c r="A8916" s="45"/>
    </row>
    <row r="8917" spans="1:1">
      <c r="A8917" s="45"/>
    </row>
    <row r="8918" spans="1:1">
      <c r="A8918" s="45"/>
    </row>
    <row r="8919" spans="1:1">
      <c r="A8919" s="45"/>
    </row>
    <row r="8920" spans="1:1">
      <c r="A8920" s="45"/>
    </row>
    <row r="8921" spans="1:1">
      <c r="A8921" s="45"/>
    </row>
    <row r="8922" spans="1:1">
      <c r="A8922" s="45"/>
    </row>
    <row r="8923" spans="1:1">
      <c r="A8923" s="45"/>
    </row>
    <row r="8924" spans="1:1">
      <c r="A8924" s="45"/>
    </row>
    <row r="8925" spans="1:1">
      <c r="A8925" s="45"/>
    </row>
    <row r="8926" spans="1:1">
      <c r="A8926" s="45"/>
    </row>
    <row r="8927" spans="1:1">
      <c r="A8927" s="45"/>
    </row>
    <row r="8928" spans="1:1">
      <c r="A8928" s="45"/>
    </row>
    <row r="8929" spans="1:1">
      <c r="A8929" s="45"/>
    </row>
    <row r="8930" spans="1:1">
      <c r="A8930" s="45"/>
    </row>
    <row r="8931" spans="1:1">
      <c r="A8931" s="45"/>
    </row>
    <row r="8932" spans="1:1">
      <c r="A8932" s="45"/>
    </row>
    <row r="8933" spans="1:1">
      <c r="A8933" s="45"/>
    </row>
    <row r="8934" spans="1:1">
      <c r="A8934" s="45"/>
    </row>
    <row r="8935" spans="1:1">
      <c r="A8935" s="45"/>
    </row>
    <row r="8936" spans="1:1">
      <c r="A8936" s="45"/>
    </row>
    <row r="8937" spans="1:1">
      <c r="A8937" s="45"/>
    </row>
    <row r="8938" spans="1:1">
      <c r="A8938" s="45"/>
    </row>
    <row r="8939" spans="1:1">
      <c r="A8939" s="45"/>
    </row>
    <row r="8940" spans="1:1">
      <c r="A8940" s="45"/>
    </row>
    <row r="8941" spans="1:1">
      <c r="A8941" s="45"/>
    </row>
    <row r="8942" spans="1:1">
      <c r="A8942" s="45"/>
    </row>
    <row r="8943" spans="1:1">
      <c r="A8943" s="45"/>
    </row>
    <row r="8944" spans="1:1">
      <c r="A8944" s="45"/>
    </row>
    <row r="8945" spans="1:1">
      <c r="A8945" s="45"/>
    </row>
    <row r="8946" spans="1:1">
      <c r="A8946" s="45"/>
    </row>
    <row r="8947" spans="1:1">
      <c r="A8947" s="45"/>
    </row>
    <row r="8948" spans="1:1">
      <c r="A8948" s="45"/>
    </row>
    <row r="8949" spans="1:1">
      <c r="A8949" s="45"/>
    </row>
    <row r="8950" spans="1:1">
      <c r="A8950" s="45"/>
    </row>
    <row r="8951" spans="1:1">
      <c r="A8951" s="45"/>
    </row>
    <row r="8952" spans="1:1">
      <c r="A8952" s="45"/>
    </row>
    <row r="8953" spans="1:1">
      <c r="A8953" s="45"/>
    </row>
    <row r="8954" spans="1:1">
      <c r="A8954" s="45"/>
    </row>
    <row r="8955" spans="1:1">
      <c r="A8955" s="45"/>
    </row>
    <row r="8956" spans="1:1">
      <c r="A8956" s="45"/>
    </row>
    <row r="8957" spans="1:1">
      <c r="A8957" s="45"/>
    </row>
    <row r="8958" spans="1:1">
      <c r="A8958" s="45"/>
    </row>
    <row r="8959" spans="1:1">
      <c r="A8959" s="45"/>
    </row>
    <row r="8960" spans="1:1">
      <c r="A8960" s="45"/>
    </row>
    <row r="8961" spans="1:1">
      <c r="A8961" s="45"/>
    </row>
    <row r="8962" spans="1:1">
      <c r="A8962" s="45"/>
    </row>
    <row r="8963" spans="1:1">
      <c r="A8963" s="45"/>
    </row>
    <row r="8964" spans="1:1">
      <c r="A8964" s="45"/>
    </row>
    <row r="8965" spans="1:1">
      <c r="A8965" s="45"/>
    </row>
    <row r="8966" spans="1:1">
      <c r="A8966" s="45"/>
    </row>
    <row r="8967" spans="1:1">
      <c r="A8967" s="45"/>
    </row>
    <row r="8968" spans="1:1">
      <c r="A8968" s="45"/>
    </row>
    <row r="8969" spans="1:1">
      <c r="A8969" s="45"/>
    </row>
    <row r="8970" spans="1:1">
      <c r="A8970" s="45"/>
    </row>
    <row r="8971" spans="1:1">
      <c r="A8971" s="45"/>
    </row>
    <row r="8972" spans="1:1">
      <c r="A8972" s="45"/>
    </row>
    <row r="8973" spans="1:1">
      <c r="A8973" s="45"/>
    </row>
    <row r="8974" spans="1:1">
      <c r="A8974" s="45"/>
    </row>
    <row r="8975" spans="1:1">
      <c r="A8975" s="45"/>
    </row>
    <row r="8976" spans="1:1">
      <c r="A8976" s="45"/>
    </row>
    <row r="8977" spans="1:1">
      <c r="A8977" s="45"/>
    </row>
    <row r="8978" spans="1:1">
      <c r="A8978" s="45"/>
    </row>
    <row r="8979" spans="1:1">
      <c r="A8979" s="45"/>
    </row>
    <row r="8980" spans="1:1">
      <c r="A8980" s="45"/>
    </row>
    <row r="8981" spans="1:1">
      <c r="A8981" s="45"/>
    </row>
    <row r="8982" spans="1:1">
      <c r="A8982" s="45"/>
    </row>
    <row r="8983" spans="1:1">
      <c r="A8983" s="45"/>
    </row>
    <row r="8984" spans="1:1">
      <c r="A8984" s="45"/>
    </row>
    <row r="8985" spans="1:1">
      <c r="A8985" s="45"/>
    </row>
    <row r="8986" spans="1:1">
      <c r="A8986" s="45"/>
    </row>
    <row r="8987" spans="1:1">
      <c r="A8987" s="45"/>
    </row>
    <row r="8988" spans="1:1">
      <c r="A8988" s="45"/>
    </row>
    <row r="8989" spans="1:1">
      <c r="A8989" s="45"/>
    </row>
    <row r="8990" spans="1:1">
      <c r="A8990" s="45"/>
    </row>
    <row r="8991" spans="1:1">
      <c r="A8991" s="45"/>
    </row>
    <row r="8992" spans="1:1">
      <c r="A8992" s="45"/>
    </row>
    <row r="8993" spans="1:1">
      <c r="A8993" s="45"/>
    </row>
    <row r="8994" spans="1:1">
      <c r="A8994" s="45"/>
    </row>
    <row r="8995" spans="1:1">
      <c r="A8995" s="45"/>
    </row>
    <row r="8996" spans="1:1">
      <c r="A8996" s="45"/>
    </row>
    <row r="8997" spans="1:1">
      <c r="A8997" s="45"/>
    </row>
    <row r="8998" spans="1:1">
      <c r="A8998" s="45"/>
    </row>
    <row r="8999" spans="1:1">
      <c r="A8999" s="45"/>
    </row>
    <row r="9000" spans="1:1">
      <c r="A9000" s="45"/>
    </row>
    <row r="9001" spans="1:1">
      <c r="A9001" s="45"/>
    </row>
    <row r="9002" spans="1:1">
      <c r="A9002" s="45"/>
    </row>
    <row r="9003" spans="1:1">
      <c r="A9003" s="45"/>
    </row>
    <row r="9004" spans="1:1">
      <c r="A9004" s="45"/>
    </row>
    <row r="9005" spans="1:1">
      <c r="A9005" s="45"/>
    </row>
    <row r="9006" spans="1:1">
      <c r="A9006" s="45"/>
    </row>
    <row r="9007" spans="1:1">
      <c r="A9007" s="45"/>
    </row>
    <row r="9008" spans="1:1">
      <c r="A9008" s="45"/>
    </row>
    <row r="9009" spans="1:1">
      <c r="A9009" s="45"/>
    </row>
    <row r="9010" spans="1:1">
      <c r="A9010" s="45"/>
    </row>
    <row r="9011" spans="1:1">
      <c r="A9011" s="45"/>
    </row>
    <row r="9012" spans="1:1">
      <c r="A9012" s="45"/>
    </row>
    <row r="9013" spans="1:1">
      <c r="A9013" s="45"/>
    </row>
    <row r="9014" spans="1:1">
      <c r="A9014" s="45"/>
    </row>
  </sheetData>
  <autoFilter ref="A4:F275" xr:uid="{5D21B9E0-A053-43B2-8D89-1651212D17D9}"/>
  <mergeCells count="2">
    <mergeCell ref="I3:J3"/>
    <mergeCell ref="Q3:S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7409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790575</xdr:colOff>
                <xdr:row>1</xdr:row>
                <xdr:rowOff>104775</xdr:rowOff>
              </to>
            </anchor>
          </objectPr>
        </oleObject>
      </mc:Choice>
      <mc:Fallback>
        <oleObject progId="Mbnd.EmbeddedDataStore" shapeId="1740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5805-1DE6-4AE1-BF07-66F7A77DE500}">
  <dimension ref="A1:F21"/>
  <sheetViews>
    <sheetView tabSelected="1" workbookViewId="0">
      <selection activeCell="L7" sqref="L7"/>
    </sheetView>
  </sheetViews>
  <sheetFormatPr defaultRowHeight="14.25"/>
  <cols>
    <col min="2" max="2" width="10.125" bestFit="1" customWidth="1"/>
    <col min="3" max="4" width="11.125" bestFit="1" customWidth="1"/>
    <col min="5" max="5" width="12.125" bestFit="1" customWidth="1"/>
    <col min="6" max="6" width="11.125" bestFit="1" customWidth="1"/>
  </cols>
  <sheetData>
    <row r="1" spans="1:6">
      <c r="B1" s="54">
        <v>5000</v>
      </c>
      <c r="C1" s="54">
        <v>10000</v>
      </c>
      <c r="D1" s="54">
        <v>100000</v>
      </c>
      <c r="E1" s="54">
        <v>150000</v>
      </c>
      <c r="F1" s="54">
        <v>200000</v>
      </c>
    </row>
    <row r="2" spans="1:6">
      <c r="A2">
        <v>2006</v>
      </c>
      <c r="B2" s="58">
        <f>'5 000'!$S$28</f>
        <v>250.81763374352067</v>
      </c>
      <c r="C2" s="58">
        <f>'10 000'!$S$28</f>
        <v>501.63526748704135</v>
      </c>
      <c r="D2" s="58">
        <f>'100 000'!$S$28</f>
        <v>4834.7607080401067</v>
      </c>
      <c r="E2" s="58">
        <f>'150 000'!$S$28</f>
        <v>6908.2410620601731</v>
      </c>
      <c r="F2" s="58">
        <f>'200 000'!$S$28</f>
        <v>8981.721416080225</v>
      </c>
    </row>
    <row r="3" spans="1:6">
      <c r="A3">
        <f>A2+1</f>
        <v>2007</v>
      </c>
      <c r="B3" s="58">
        <f>'5 000'!$S$40</f>
        <v>71.788923152545976</v>
      </c>
      <c r="C3" s="58">
        <f>'10 000'!$S$40</f>
        <v>143.57784630509195</v>
      </c>
      <c r="D3" s="58">
        <f>'100 000'!$S$40</f>
        <v>1330.9457350509329</v>
      </c>
      <c r="E3" s="58">
        <f>'150 000'!$S$40</f>
        <v>1759.7737264996977</v>
      </c>
      <c r="F3" s="58">
        <f>'200 000'!$S$40</f>
        <v>2132.2983019996027</v>
      </c>
    </row>
    <row r="4" spans="1:6">
      <c r="A4">
        <f t="shared" ref="A4:A20" si="0">A3+1</f>
        <v>2008</v>
      </c>
      <c r="B4" s="58">
        <f>'5 000'!$S$52</f>
        <v>0</v>
      </c>
      <c r="C4" s="58">
        <f>'10 000'!$S$52</f>
        <v>0</v>
      </c>
      <c r="D4" s="58">
        <f>'100 000'!$S$52</f>
        <v>-127.59624800000165</v>
      </c>
      <c r="E4" s="58">
        <f>'150 000'!$S$52</f>
        <v>-287.10687200000393</v>
      </c>
      <c r="F4" s="58">
        <f>'200 000'!$S$52</f>
        <v>-446.61749599999166</v>
      </c>
    </row>
    <row r="5" spans="1:6">
      <c r="A5">
        <f t="shared" si="0"/>
        <v>2009</v>
      </c>
      <c r="B5" s="58">
        <f>'5 000'!$S$64</f>
        <v>291.8363269204774</v>
      </c>
      <c r="C5" s="58">
        <f>'10 000'!$S$64</f>
        <v>583.67265384095481</v>
      </c>
      <c r="D5" s="58">
        <f>'100 000'!$S$64</f>
        <v>5480.1025469127344</v>
      </c>
      <c r="E5" s="58">
        <f>'150 000'!$S$64</f>
        <v>7639.70382036909</v>
      </c>
      <c r="F5" s="58">
        <f>'200 000'!$S$64</f>
        <v>9799.3050938254455</v>
      </c>
    </row>
    <row r="6" spans="1:6">
      <c r="A6">
        <f t="shared" si="0"/>
        <v>2010</v>
      </c>
      <c r="B6" s="58">
        <f>'5 000'!$S$76</f>
        <v>122.2823256560614</v>
      </c>
      <c r="C6" s="58">
        <f>'10 000'!$S$76</f>
        <v>244.56465131212281</v>
      </c>
      <c r="D6" s="58">
        <f>'100 000'!$S$76</f>
        <v>2311.5046131212148</v>
      </c>
      <c r="E6" s="58">
        <f>'150 000'!$S$76</f>
        <v>3108.8098044703656</v>
      </c>
      <c r="F6" s="58">
        <f>'200 000'!$S$76</f>
        <v>3875.9130726271251</v>
      </c>
    </row>
    <row r="7" spans="1:6">
      <c r="A7">
        <f t="shared" si="0"/>
        <v>2011</v>
      </c>
      <c r="B7" s="58">
        <f>'5 000'!$S$88</f>
        <v>0</v>
      </c>
      <c r="C7" s="58">
        <f>'10 000'!$S$88</f>
        <v>0</v>
      </c>
      <c r="D7" s="58">
        <f>'100 000'!$S$88</f>
        <v>-110.1557679999969</v>
      </c>
      <c r="E7" s="58">
        <f>'150 000'!$S$88</f>
        <v>-249.07115199998952</v>
      </c>
      <c r="F7" s="58">
        <f>'200 000'!$S$88</f>
        <v>-522.11401596048381</v>
      </c>
    </row>
    <row r="8" spans="1:6">
      <c r="A8">
        <f t="shared" si="0"/>
        <v>2012</v>
      </c>
      <c r="B8" s="58">
        <f>'5 000'!$S$100</f>
        <v>167.54361535760745</v>
      </c>
      <c r="C8" s="58">
        <f>'10 000'!$S$100</f>
        <v>335.0872307152149</v>
      </c>
      <c r="D8" s="58">
        <f>'100 000'!$S$100</f>
        <v>3201.0883150224399</v>
      </c>
      <c r="E8" s="58">
        <f>'150 000'!$S$100</f>
        <v>4376.9824725336512</v>
      </c>
      <c r="F8" s="58">
        <f>'200 000'!$S$100</f>
        <v>5552.8766300448624</v>
      </c>
    </row>
    <row r="9" spans="1:6">
      <c r="A9">
        <f t="shared" si="0"/>
        <v>2013</v>
      </c>
      <c r="B9" s="58">
        <f>'5 000'!$S$112</f>
        <v>61.95802077555345</v>
      </c>
      <c r="C9" s="58">
        <f>'10 000'!$S$112</f>
        <v>123.9160415511069</v>
      </c>
      <c r="D9" s="58">
        <f>'100 000'!$S$112</f>
        <v>1087.9170715110522</v>
      </c>
      <c r="E9" s="58">
        <f>'150 000'!$S$112</f>
        <v>1316.9286955367716</v>
      </c>
      <c r="F9" s="58">
        <f>'200 000'!$S$112</f>
        <v>1453.8049273823563</v>
      </c>
    </row>
    <row r="10" spans="1:6">
      <c r="A10">
        <f t="shared" si="0"/>
        <v>2014</v>
      </c>
      <c r="B10" s="58">
        <f>'5 000'!$S$124</f>
        <v>11.307227628365581</v>
      </c>
      <c r="C10" s="58">
        <f>'10 000'!$S$124</f>
        <v>22.614455256731162</v>
      </c>
      <c r="D10" s="58">
        <f>'100 000'!$S$124</f>
        <v>148.45013256730454</v>
      </c>
      <c r="E10" s="58">
        <f>'150 000'!$S$124</f>
        <v>88.316799715277739</v>
      </c>
      <c r="F10" s="58">
        <f>'200 000'!$S$124</f>
        <v>-43.744267046335153</v>
      </c>
    </row>
    <row r="11" spans="1:6">
      <c r="A11">
        <f t="shared" si="0"/>
        <v>2015</v>
      </c>
      <c r="B11" s="58">
        <f>'5 000'!$S$136</f>
        <v>0</v>
      </c>
      <c r="C11" s="58">
        <f>'10 000'!$S$136</f>
        <v>0</v>
      </c>
      <c r="D11" s="58">
        <f>'100 000'!$S$136</f>
        <v>-75.638999999995576</v>
      </c>
      <c r="E11" s="58">
        <f>'150 000'!$S$136</f>
        <v>-202.93743732856819</v>
      </c>
      <c r="F11" s="58">
        <f>'200 000'!$S$136</f>
        <v>-428.91658310472849</v>
      </c>
    </row>
    <row r="12" spans="1:6">
      <c r="A12">
        <f t="shared" si="0"/>
        <v>2016</v>
      </c>
      <c r="B12" s="58">
        <f>'5 000'!$S$148</f>
        <v>71.537589109607325</v>
      </c>
      <c r="C12" s="58">
        <f>'10 000'!$S$148</f>
        <v>143.07517821921465</v>
      </c>
      <c r="D12" s="58">
        <f>'100 000'!$S$148</f>
        <v>1378.5359821921447</v>
      </c>
      <c r="E12" s="58">
        <f>'150 000'!$S$148</f>
        <v>1942.3204390056781</v>
      </c>
      <c r="F12" s="58">
        <f>'200 000'!$S$148</f>
        <v>2478.927252007561</v>
      </c>
    </row>
    <row r="13" spans="1:6">
      <c r="A13">
        <f t="shared" si="0"/>
        <v>2017</v>
      </c>
      <c r="B13" s="58">
        <f>'5 000'!$S$160</f>
        <v>137.73938411868585</v>
      </c>
      <c r="C13" s="58">
        <f>'10 000'!$S$160</f>
        <v>275.4787682373717</v>
      </c>
      <c r="D13" s="58">
        <f>'100 000'!$S$160</f>
        <v>2706.783194373711</v>
      </c>
      <c r="E13" s="58">
        <f>'150 000'!$S$160</f>
        <v>3911.3401828788919</v>
      </c>
      <c r="F13" s="58">
        <f>'200 000'!$S$160</f>
        <v>5112.5202438385168</v>
      </c>
    </row>
    <row r="14" spans="1:6">
      <c r="A14">
        <f t="shared" si="0"/>
        <v>2018</v>
      </c>
      <c r="B14" s="58">
        <f>'5 000'!$S$172</f>
        <v>0</v>
      </c>
      <c r="C14" s="58">
        <f>'10 000'!$S$172</f>
        <v>0</v>
      </c>
      <c r="D14" s="58">
        <f>'100 000'!$S$172</f>
        <v>-44.186247999998159</v>
      </c>
      <c r="E14" s="58">
        <f>'150 000'!$S$172</f>
        <v>-119.92757742243703</v>
      </c>
      <c r="F14" s="58">
        <f>'200 000'!$S$172</f>
        <v>-254.27010322990827</v>
      </c>
    </row>
    <row r="15" spans="1:6">
      <c r="A15">
        <f t="shared" si="0"/>
        <v>2019</v>
      </c>
      <c r="B15" s="58">
        <f>'5 000'!$S$184</f>
        <v>8.3607584784322171</v>
      </c>
      <c r="C15" s="58">
        <f>'10 000'!$S$184</f>
        <v>16.721516956864434</v>
      </c>
      <c r="D15" s="58">
        <f>'100 000'!$S$184</f>
        <v>119.09098156864638</v>
      </c>
      <c r="E15" s="58">
        <f>'150 000'!$S$184</f>
        <v>93.834508007887052</v>
      </c>
      <c r="F15" s="58">
        <f>'200 000'!$S$184</f>
        <v>23.146010677184677</v>
      </c>
    </row>
    <row r="16" spans="1:6">
      <c r="A16">
        <f t="shared" si="0"/>
        <v>2020</v>
      </c>
      <c r="B16" s="58">
        <f>'5 000'!$S$196</f>
        <v>0</v>
      </c>
      <c r="C16" s="58">
        <f>'10 000'!$S$196</f>
        <v>0</v>
      </c>
      <c r="D16" s="58">
        <f>'100 000'!$S$196</f>
        <v>-39.422263999993447</v>
      </c>
      <c r="E16" s="58">
        <f>'150 000'!$S$196</f>
        <v>-125.95081798554747</v>
      </c>
      <c r="F16" s="58">
        <f>'200 000'!$S$196</f>
        <v>-252.80109064740827</v>
      </c>
    </row>
    <row r="17" spans="1:6">
      <c r="A17">
        <f t="shared" si="0"/>
        <v>2021</v>
      </c>
      <c r="B17" s="58">
        <f>'5 000'!$S$208</f>
        <v>124.58659930164958</v>
      </c>
      <c r="C17" s="58">
        <f>'10 000'!$S$208</f>
        <v>249.17319860329917</v>
      </c>
      <c r="D17" s="58">
        <f>'100 000'!$S$208</f>
        <v>2476.5279860330047</v>
      </c>
      <c r="E17" s="58">
        <f>'150 000'!$S$208</f>
        <v>3667.9264107386989</v>
      </c>
      <c r="F17" s="58">
        <f>'200 000'!$S$208</f>
        <v>4857.2352143182943</v>
      </c>
    </row>
    <row r="18" spans="1:6">
      <c r="A18">
        <f t="shared" si="0"/>
        <v>2022</v>
      </c>
      <c r="B18" s="58">
        <f>'5 000'!$S$220</f>
        <v>0</v>
      </c>
      <c r="C18" s="58">
        <f>'10 000'!$S$220</f>
        <v>0</v>
      </c>
      <c r="D18" s="58">
        <f>'100 000'!$S$220</f>
        <v>-15.271999999997206</v>
      </c>
      <c r="E18" s="58">
        <f>'150 000'!$S$220</f>
        <v>-35.407999999995809</v>
      </c>
      <c r="F18" s="58">
        <f>'200 000'!$S$220</f>
        <v>-80.051846455200575</v>
      </c>
    </row>
    <row r="19" spans="1:6">
      <c r="A19">
        <f t="shared" si="0"/>
        <v>2023</v>
      </c>
      <c r="B19" s="58">
        <f>'5 000'!$S$232</f>
        <v>232.0316377516674</v>
      </c>
      <c r="C19" s="58">
        <f>'10 000'!$S$232</f>
        <v>464.06327550333481</v>
      </c>
      <c r="D19" s="58">
        <f>'100 000'!$S$232</f>
        <v>4377.0448145474511</v>
      </c>
      <c r="E19" s="58">
        <f>'150 000'!$S$232</f>
        <v>6025.9672218211927</v>
      </c>
      <c r="F19" s="58">
        <f>'200 000'!$S$232</f>
        <v>7674.8896290949197</v>
      </c>
    </row>
    <row r="20" spans="1:6">
      <c r="A20">
        <f t="shared" si="0"/>
        <v>2024</v>
      </c>
      <c r="B20" s="58">
        <f>'5 000'!$S$244</f>
        <v>24.875823484630928</v>
      </c>
      <c r="C20" s="58">
        <f>'10 000'!$S$244</f>
        <v>49.751646969261856</v>
      </c>
      <c r="D20" s="58">
        <f>'100 000'!$S$244</f>
        <v>350.68059369261027</v>
      </c>
      <c r="E20" s="58">
        <f>'150 000'!$S$244</f>
        <v>273.92144065967295</v>
      </c>
      <c r="F20" s="58">
        <f>'200 000'!$S$244</f>
        <v>73.261920879565878</v>
      </c>
    </row>
    <row r="21" spans="1:6">
      <c r="A21">
        <f>A20+1</f>
        <v>2025</v>
      </c>
      <c r="B21" s="58">
        <f>'5 000'!$S$256</f>
        <v>284.78365410144488</v>
      </c>
      <c r="C21" s="58">
        <f>'10 000'!$S$256</f>
        <v>569.56730820288976</v>
      </c>
      <c r="D21" s="58">
        <f>'100 000'!$S$256</f>
        <v>5467.8461587477359</v>
      </c>
      <c r="E21" s="58">
        <f>'150 000'!$S$256</f>
        <v>7821.769238121633</v>
      </c>
      <c r="F21" s="58">
        <f>'200 000'!$S$256</f>
        <v>10175.692317495472</v>
      </c>
    </row>
  </sheetData>
  <conditionalFormatting sqref="B2:F21">
    <cfRule type="cellIs" dxfId="1" priority="1" operator="lessThan">
      <formula>0</formula>
    </cfRule>
    <cfRule type="cellIs" dxfId="0" priority="2" operator="greaterThan">
      <formula>0</formula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6</vt:i4>
      </vt:variant>
    </vt:vector>
  </HeadingPairs>
  <TitlesOfParts>
    <vt:vector size="15" baseType="lpstr">
      <vt:lpstr>Arkusz1</vt:lpstr>
      <vt:lpstr>2 OPN_PLN</vt:lpstr>
      <vt:lpstr>1 000</vt:lpstr>
      <vt:lpstr>5 000</vt:lpstr>
      <vt:lpstr>10 000</vt:lpstr>
      <vt:lpstr>100 000</vt:lpstr>
      <vt:lpstr>150 000</vt:lpstr>
      <vt:lpstr>200 000</vt:lpstr>
      <vt:lpstr>podsumowanie</vt:lpstr>
      <vt:lpstr>'1 000'!Macrobond_Object1</vt:lpstr>
      <vt:lpstr>'10 000'!Macrobond_Object1</vt:lpstr>
      <vt:lpstr>'100 000'!Macrobond_Object1</vt:lpstr>
      <vt:lpstr>'150 000'!Macrobond_Object1</vt:lpstr>
      <vt:lpstr>'200 000'!Macrobond_Object1</vt:lpstr>
      <vt:lpstr>'5 000'!Macrobond_Object1</vt:lpstr>
    </vt:vector>
  </TitlesOfParts>
  <Company>PKO Bank Polski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Różycka Marie-Anne (EXT)</dc:creator>
  <cp:lastModifiedBy>Tcherekhovitch Sofia (EXT)</cp:lastModifiedBy>
  <dcterms:created xsi:type="dcterms:W3CDTF">2026-09-16T09:24:36Z</dcterms:created>
  <dcterms:modified xsi:type="dcterms:W3CDTF">2026-10-06T09:48:00Z</dcterms:modified>
</cp:coreProperties>
</file>